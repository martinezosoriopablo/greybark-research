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ancotanner-my.sharepoint.com/personal/nicolas_maqueda_tbd_cl/Documents/Descargas/"/>
    </mc:Choice>
  </mc:AlternateContent>
  <xr:revisionPtr revIDLastSave="380" documentId="11_5FDE3EC70DD7EA081D7E0474325153CDDC491A11" xr6:coauthVersionLast="47" xr6:coauthVersionMax="47" xr10:uidLastSave="{41626294-114B-45EC-A122-CACA42CBCCE1}"/>
  <bookViews>
    <workbookView xWindow="28680" yWindow="-7500" windowWidth="29040" windowHeight="15720" activeTab="2" xr2:uid="{00000000-000D-0000-FFFF-FFFF00000000}"/>
  </bookViews>
  <sheets>
    <sheet name="CONFIG" sheetId="1" r:id="rId1"/>
    <sheet name="INSTRUCCIONES" sheetId="2" r:id="rId2"/>
    <sheet name="PMI" sheetId="3" r:id="rId3"/>
    <sheet name="China" sheetId="4" r:id="rId4"/>
    <sheet name="CDS" sheetId="5" r:id="rId5"/>
    <sheet name="Credit_Spreads" sheetId="6" r:id="rId6"/>
    <sheet name="EM_Spreads" sheetId="7" r:id="rId7"/>
    <sheet name="Real_Yields" sheetId="8" r:id="rId8"/>
    <sheet name="CPI_Componentes" sheetId="9" r:id="rId9"/>
    <sheet name="EPFR_Flows" sheetId="10" r:id="rId10"/>
    <sheet name="Positioning" sheetId="11" r:id="rId11"/>
    <sheet name="Valuaciones" sheetId="12" r:id="rId12"/>
    <sheet name="Volatility" sheetId="13" r:id="rId13"/>
    <sheet name="Macro_Conditions" sheetId="14" r:id="rId14"/>
    <sheet name="Chile" sheetId="15" r:id="rId15"/>
    <sheet name="Catalog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2" i="10" l="1"/>
  <c r="A137" i="6"/>
  <c r="A1622" i="6"/>
  <c r="A1082" i="4"/>
  <c r="A137" i="8"/>
  <c r="A542" i="14"/>
  <c r="A1352" i="5"/>
  <c r="A407" i="10"/>
  <c r="A542" i="10"/>
  <c r="A542" i="5"/>
  <c r="A1217" i="4"/>
  <c r="A2" i="13"/>
  <c r="A542" i="13"/>
  <c r="A812" i="6"/>
  <c r="A677" i="11"/>
  <c r="A1352" i="6"/>
  <c r="A2" i="4"/>
  <c r="A137" i="13"/>
  <c r="A947" i="6"/>
  <c r="A272" i="13"/>
  <c r="A1217" i="6"/>
  <c r="A137" i="15"/>
  <c r="A1082" i="6"/>
  <c r="A677" i="5"/>
  <c r="A407" i="14"/>
  <c r="A272" i="11"/>
  <c r="A677" i="10"/>
  <c r="A677" i="3"/>
  <c r="A137" i="5"/>
  <c r="A542" i="7"/>
  <c r="A1217" i="3"/>
  <c r="A137" i="4"/>
  <c r="A677" i="8"/>
  <c r="A1622" i="5"/>
  <c r="A407" i="7"/>
  <c r="A1757" i="5"/>
  <c r="A542" i="11"/>
  <c r="A137" i="7"/>
  <c r="A272" i="7"/>
  <c r="A407" i="9"/>
  <c r="A272" i="6"/>
  <c r="A812" i="13"/>
  <c r="A272" i="15"/>
  <c r="A2" i="5"/>
  <c r="A407" i="4"/>
  <c r="A812" i="3"/>
  <c r="A947" i="4"/>
  <c r="A542" i="9"/>
  <c r="A407" i="3"/>
  <c r="A542" i="15"/>
  <c r="A2" i="15"/>
  <c r="A137" i="14"/>
  <c r="A2" i="6"/>
  <c r="A2" i="3"/>
  <c r="A677" i="13"/>
  <c r="A812" i="8"/>
  <c r="A677" i="7"/>
  <c r="A542" i="4"/>
  <c r="A272" i="4"/>
  <c r="A947" i="5"/>
  <c r="A1352" i="3"/>
  <c r="A677" i="14"/>
  <c r="A407" i="11"/>
  <c r="A1217" i="5"/>
  <c r="A272" i="9"/>
  <c r="A1082" i="5"/>
  <c r="A542" i="8"/>
  <c r="A947" i="8"/>
  <c r="A677" i="9"/>
  <c r="A812" i="5"/>
  <c r="A677" i="12"/>
  <c r="A542" i="3"/>
  <c r="A1082" i="12"/>
  <c r="A1757" i="12"/>
  <c r="A272" i="12"/>
  <c r="A137" i="12"/>
  <c r="A1352" i="12"/>
  <c r="A1622" i="12"/>
  <c r="A812" i="12"/>
  <c r="A407" i="12"/>
  <c r="A1487" i="12"/>
  <c r="A947" i="12"/>
  <c r="A1217" i="12"/>
  <c r="A542" i="12"/>
  <c r="A2" i="12"/>
  <c r="A542" i="6"/>
  <c r="A2" i="14"/>
  <c r="A407" i="15"/>
  <c r="A947" i="3"/>
  <c r="A407" i="13"/>
  <c r="A137" i="11"/>
  <c r="A2" i="11"/>
  <c r="A2" i="9"/>
  <c r="A1487" i="5"/>
  <c r="A1352" i="4"/>
  <c r="A272" i="10"/>
  <c r="A137" i="3"/>
  <c r="A407" i="5"/>
  <c r="A2" i="10"/>
  <c r="A137" i="10"/>
  <c r="A272" i="14"/>
  <c r="A272" i="5"/>
  <c r="A137" i="9"/>
  <c r="A677" i="6"/>
  <c r="A272" i="3"/>
  <c r="A1487" i="6"/>
  <c r="A1082" i="3"/>
  <c r="A272" i="8"/>
  <c r="A2" i="8"/>
  <c r="A677" i="4"/>
  <c r="A812" i="4"/>
  <c r="A812" i="7"/>
  <c r="A2" i="7"/>
  <c r="A407" i="8"/>
  <c r="A407" i="6"/>
  <c r="A947" i="7"/>
</calcChain>
</file>

<file path=xl/sharedStrings.xml><?xml version="1.0" encoding="utf-8"?>
<sst xmlns="http://schemas.openxmlformats.org/spreadsheetml/2006/main" count="1334" uniqueCount="563">
  <si>
    <t>Parametro</t>
  </si>
  <si>
    <t>Valor</t>
  </si>
  <si>
    <t>Detalle</t>
  </si>
  <si>
    <t>ultima_actualizacion</t>
  </si>
  <si>
    <t>Se actualiza al abrir en Bloomberg</t>
  </si>
  <si>
    <t>version_template</t>
  </si>
  <si>
    <t>3.0-live</t>
  </si>
  <si>
    <t>Version live (sin macros, BDH directo)</t>
  </si>
  <si>
    <t>meses_historia</t>
  </si>
  <si>
    <t>120</t>
  </si>
  <si>
    <t>Meses de historia</t>
  </si>
  <si>
    <t>formato</t>
  </si>
  <si>
    <t>bloques_verticales</t>
  </si>
  <si>
    <t>Series apiladas por bloque en cada hoja</t>
  </si>
  <si>
    <t>block_size</t>
  </si>
  <si>
    <t>135</t>
  </si>
  <si>
    <t>Filas por bloque de serie</t>
  </si>
  <si>
    <t>creado</t>
  </si>
  <si>
    <t>2026-02-18</t>
  </si>
  <si>
    <t>Fecha de creacion</t>
  </si>
  <si>
    <t>GREYBARK RESEARCH - Bloomberg Data (Live)</t>
  </si>
  <si>
    <t>Este archivo tiene formulas BDH nativas.</t>
  </si>
  <si>
    <t>NO necesita macros. Solo abrir, esperar, guardar.</t>
  </si>
  <si>
    <t>COMO ACTUALIZAR:</t>
  </si>
  <si>
    <t xml:space="preserve">  1. Abrir este archivo en PC con Bloomberg Terminal activo</t>
  </si>
  <si>
    <t xml:space="preserve">  2. Las formulas BDH se calculan automaticamente (~2-3 min)</t>
  </si>
  <si>
    <t xml:space="preserve">  3. Guardar (Ctrl+S)</t>
  </si>
  <si>
    <t xml:space="preserve">  4. Cerrar. Listo.</t>
  </si>
  <si>
    <t>IMPORTANTE:</t>
  </si>
  <si>
    <t xml:space="preserve">  - NO abrir en PC sin Bloomberg (las formulas mostraran #NAME?)</t>
  </si>
  <si>
    <t xml:space="preserve">  - Si lo abres sin Bloomberg NO guardes (cierra sin guardar)</t>
  </si>
  <si>
    <t xml:space="preserve">  - Frecuencia: 1x al mes, dia 7-8</t>
  </si>
  <si>
    <t>LAYOUT:</t>
  </si>
  <si>
    <t xml:space="preserve">  Cada serie es un bloque vertical de 135 filas:</t>
  </si>
  <si>
    <t xml:space="preserve">  Fila 1 del bloque: campo_id | descripcion | ticker | field</t>
  </si>
  <si>
    <t xml:space="preserve">  Fila 2 del bloque: =BDH(...) que rellena fechas y valores</t>
  </si>
  <si>
    <t>HOJAS:</t>
  </si>
  <si>
    <t xml:space="preserve">  PMI                  11 series</t>
  </si>
  <si>
    <t xml:space="preserve">  China                11 series</t>
  </si>
  <si>
    <t xml:space="preserve">  CDS                  14 series</t>
  </si>
  <si>
    <t xml:space="preserve">  Credit_Spreads       13 series</t>
  </si>
  <si>
    <t xml:space="preserve">  EM_Spreads           8 series</t>
  </si>
  <si>
    <t xml:space="preserve">  Real_Yields          8 series</t>
  </si>
  <si>
    <t xml:space="preserve">  CPI_Componentes      6 series</t>
  </si>
  <si>
    <t xml:space="preserve">  EPFR_Flows           7 series</t>
  </si>
  <si>
    <t xml:space="preserve">  Positioning          6 series</t>
  </si>
  <si>
    <t xml:space="preserve">  Valuaciones          14 series</t>
  </si>
  <si>
    <t xml:space="preserve">  Volatility           7 series</t>
  </si>
  <si>
    <t xml:space="preserve">  Macro_Conditions     6 series</t>
  </si>
  <si>
    <t xml:space="preserve">  Chile                5 series</t>
  </si>
  <si>
    <t xml:space="preserve">  116 series | 10 anos | Generado: 2026-02-18</t>
  </si>
  <si>
    <t>pmi_usa_mfg</t>
  </si>
  <si>
    <t>ISM Manufacturing USA (indice)</t>
  </si>
  <si>
    <t>NAPMPMI Index</t>
  </si>
  <si>
    <t>PX_LAST</t>
  </si>
  <si>
    <t>pmi_usa_svc</t>
  </si>
  <si>
    <t>ISM Services USA (indice)</t>
  </si>
  <si>
    <t>NAPMNMI Index</t>
  </si>
  <si>
    <t>pmi_euro_mfg</t>
  </si>
  <si>
    <t>PMI Mfg Eurozona (indice)</t>
  </si>
  <si>
    <t>MPMIFMEZ Index</t>
  </si>
  <si>
    <t>pmi_euro_svc</t>
  </si>
  <si>
    <t>PMI Svc Eurozona (indice)</t>
  </si>
  <si>
    <t>MPMISFEZ Index</t>
  </si>
  <si>
    <t>pmi_euro_comp</t>
  </si>
  <si>
    <t>PMI Composite Eurozona (indice)</t>
  </si>
  <si>
    <t>MPMIEZC Index</t>
  </si>
  <si>
    <t>pmi_china_mfg</t>
  </si>
  <si>
    <t>PMI Mfg China (NBS) (indice)</t>
  </si>
  <si>
    <t>CPMINDX Index</t>
  </si>
  <si>
    <t>pmi_china_caixin</t>
  </si>
  <si>
    <t>Caixin Composite China (indice)</t>
  </si>
  <si>
    <t>CHPMCOMP Index</t>
  </si>
  <si>
    <t>pmi_japan</t>
  </si>
  <si>
    <t>PMI Mfg Japon (indice)</t>
  </si>
  <si>
    <t>JNMPMFG Index</t>
  </si>
  <si>
    <t>pmi_global</t>
  </si>
  <si>
    <t>JPM Global Composite (indice)</t>
  </si>
  <si>
    <t>MPMIJPGM Index</t>
  </si>
  <si>
    <t>pmi_uk</t>
  </si>
  <si>
    <t>PMI Mfg UK (indice)</t>
  </si>
  <si>
    <t>PMITMUK Index</t>
  </si>
  <si>
    <t>pmi_india</t>
  </si>
  <si>
    <t>PMI Mfg India (indice)</t>
  </si>
  <si>
    <t>NPIMINM Index</t>
  </si>
  <si>
    <t>china_exp_yoy</t>
  </si>
  <si>
    <t>Exportaciones YoY (%)</t>
  </si>
  <si>
    <t>CNFREXPY Index</t>
  </si>
  <si>
    <t>china_imp_yoy</t>
  </si>
  <si>
    <t>Importaciones YoY (%)</t>
  </si>
  <si>
    <t>CNFRIMPY Index</t>
  </si>
  <si>
    <t>china_trade_bal</t>
  </si>
  <si>
    <t>Balanza Comercial (USD bn)</t>
  </si>
  <si>
    <t>CTBABALA Index</t>
  </si>
  <si>
    <t>china_tsf_yoy</t>
  </si>
  <si>
    <t>Total Social Financing YoY (%)</t>
  </si>
  <si>
    <t>CNTSFTOT Index</t>
  </si>
  <si>
    <t>china_m2_yoy</t>
  </si>
  <si>
    <t>M2 Money Supply YoY (%)</t>
  </si>
  <si>
    <t>CNMS2YOY Index</t>
  </si>
  <si>
    <t>china_ppi_yoy</t>
  </si>
  <si>
    <t>PPI YoY (%)</t>
  </si>
  <si>
    <t>CHEFTYOY Index</t>
  </si>
  <si>
    <t>china_cpi_yoy</t>
  </si>
  <si>
    <t>CPI YoY (%)</t>
  </si>
  <si>
    <t>CNCPIYOY Index</t>
  </si>
  <si>
    <t>china_new_loans</t>
  </si>
  <si>
    <t>New Yuan Loans (CNY bn)</t>
  </si>
  <si>
    <t>CNNELOYN Index</t>
  </si>
  <si>
    <t>china_iron_ore</t>
  </si>
  <si>
    <t>Iron Ore 62% Fe (USD/t)</t>
  </si>
  <si>
    <t>SCO1 Comdty</t>
  </si>
  <si>
    <t>china_copper</t>
  </si>
  <si>
    <t>Copper Future (USD/lb)</t>
  </si>
  <si>
    <t>HG1 Comdty</t>
  </si>
  <si>
    <t>china_caixin_mfg</t>
  </si>
  <si>
    <t>Caixin Mfg PMI (indice)</t>
  </si>
  <si>
    <t>CHPMINDX Index</t>
  </si>
  <si>
    <t>cds_usa</t>
  </si>
  <si>
    <t>USA CDS 5Y (bps)</t>
  </si>
  <si>
    <t>CT786916 Corp</t>
  </si>
  <si>
    <t>cds_alemania</t>
  </si>
  <si>
    <t>Alemania CDS 5Y (bps)</t>
  </si>
  <si>
    <t>CT786894 Corp</t>
  </si>
  <si>
    <t>cds_uk</t>
  </si>
  <si>
    <t>UK CDS 5Y (bps)</t>
  </si>
  <si>
    <t>CUKEL1U5 CBGN Curncy</t>
  </si>
  <si>
    <t>cds_japon</t>
  </si>
  <si>
    <t>Japon CDS 5Y (bps)</t>
  </si>
  <si>
    <t>CJGB1U5 CBGN Curncy</t>
  </si>
  <si>
    <t>cds_francia</t>
  </si>
  <si>
    <t>Francia CDS 5Y (bps)</t>
  </si>
  <si>
    <t>CT786904 Corp</t>
  </si>
  <si>
    <t>cds_italia</t>
  </si>
  <si>
    <t>Italia CDS 5Y (bps)</t>
  </si>
  <si>
    <t>CT786910 Corp</t>
  </si>
  <si>
    <t>cds_espana</t>
  </si>
  <si>
    <t>Espana CDS 5Y (bps)</t>
  </si>
  <si>
    <t>CT786900 Corp</t>
  </si>
  <si>
    <t>cds_brasil</t>
  </si>
  <si>
    <t>Brasil CDS 5Y (bps)</t>
  </si>
  <si>
    <t>CT786878 Corp</t>
  </si>
  <si>
    <t>cds_mexico</t>
  </si>
  <si>
    <t>Mexico CDS 5Y (bps)</t>
  </si>
  <si>
    <t>CT786912 Corp</t>
  </si>
  <si>
    <t>cds_colombia</t>
  </si>
  <si>
    <t>Colombia CDS 5Y (bps)</t>
  </si>
  <si>
    <t>CT786884 Corp</t>
  </si>
  <si>
    <t>cds_peru</t>
  </si>
  <si>
    <t>Peru CDS 5Y (bps)</t>
  </si>
  <si>
    <t>CT786914 Corp</t>
  </si>
  <si>
    <t>cds_chile</t>
  </si>
  <si>
    <t>Chile CDS 5Y (bps)</t>
  </si>
  <si>
    <t>CT786882 Corp</t>
  </si>
  <si>
    <t>cds_china</t>
  </si>
  <si>
    <t>China CDS 5Y (bps)</t>
  </si>
  <si>
    <t>CT786880 Corp</t>
  </si>
  <si>
    <t>cds_turquia</t>
  </si>
  <si>
    <t>Turquia CDS 5Y (bps)</t>
  </si>
  <si>
    <t>CT786918 Corp</t>
  </si>
  <si>
    <t>oas_ig_total</t>
  </si>
  <si>
    <t>OAS IG Total (US) (bps)</t>
  </si>
  <si>
    <t>LUACOAS Index</t>
  </si>
  <si>
    <t>oas_hy_total</t>
  </si>
  <si>
    <t>OAS HY Total (US) (bps)</t>
  </si>
  <si>
    <t>LF98OAS Index</t>
  </si>
  <si>
    <t>oas_bbb</t>
  </si>
  <si>
    <t>OAS BBB (bps)</t>
  </si>
  <si>
    <t>LUACBBB Index</t>
  </si>
  <si>
    <t>oas_bb</t>
  </si>
  <si>
    <t>OAS BB (bps)</t>
  </si>
  <si>
    <t>LF98BB Index</t>
  </si>
  <si>
    <t>oas_financiero</t>
  </si>
  <si>
    <t>OAS Financiero (bps)</t>
  </si>
  <si>
    <t>LUACFN Index</t>
  </si>
  <si>
    <t>oas_industrial</t>
  </si>
  <si>
    <t>OAS Industrial (bps)</t>
  </si>
  <si>
    <t>LUACIN Index</t>
  </si>
  <si>
    <t>oas_utilities</t>
  </si>
  <si>
    <t>OAS Utilities (bps)</t>
  </si>
  <si>
    <t>LUACUT Index</t>
  </si>
  <si>
    <t>oas_tecnologia</t>
  </si>
  <si>
    <t>OAS Tecnologia (bps)</t>
  </si>
  <si>
    <t>LUACTC Index</t>
  </si>
  <si>
    <t>oas_salud</t>
  </si>
  <si>
    <t>OAS Salud/Healthcare (bps)</t>
  </si>
  <si>
    <t>LUACHC Index</t>
  </si>
  <si>
    <t>oas_energia</t>
  </si>
  <si>
    <t>OAS Energia (bps)</t>
  </si>
  <si>
    <t>LUACEN Index</t>
  </si>
  <si>
    <t>oas_consumo</t>
  </si>
  <si>
    <t>OAS Consumo (bps)</t>
  </si>
  <si>
    <t>LUACCS Index</t>
  </si>
  <si>
    <t>oas_telecom</t>
  </si>
  <si>
    <t>OAS Telecom (bps)</t>
  </si>
  <si>
    <t>LUACTM Index</t>
  </si>
  <si>
    <t>oas_ig_eur</t>
  </si>
  <si>
    <t>OAS IG Europa (bps)</t>
  </si>
  <si>
    <t>ER00OAS Index</t>
  </si>
  <si>
    <t>embi_total</t>
  </si>
  <si>
    <t>EMBI+ Composite (bps)</t>
  </si>
  <si>
    <t>JPEMCOMP Index</t>
  </si>
  <si>
    <t>embi_brasil</t>
  </si>
  <si>
    <t>EMBI Brasil (bps)</t>
  </si>
  <si>
    <t>JPEBBR Index</t>
  </si>
  <si>
    <t>embi_mexico</t>
  </si>
  <si>
    <t>EMBI Mexico (bps)</t>
  </si>
  <si>
    <t>JPEBMX Index</t>
  </si>
  <si>
    <t>embi_colombia</t>
  </si>
  <si>
    <t>EMBI Colombia (bps)</t>
  </si>
  <si>
    <t>JPEBCO Index</t>
  </si>
  <si>
    <t>embi_chile</t>
  </si>
  <si>
    <t>EMBI Chile (bps)</t>
  </si>
  <si>
    <t>JPEBCL Index</t>
  </si>
  <si>
    <t>cembi_total</t>
  </si>
  <si>
    <t>CEMBI Composite (bps)</t>
  </si>
  <si>
    <t>JCMBCOMP Index</t>
  </si>
  <si>
    <t>embi_asia</t>
  </si>
  <si>
    <t>EMBI Asia (bps)</t>
  </si>
  <si>
    <t>JPEIASIA Index</t>
  </si>
  <si>
    <t>embi_emea</t>
  </si>
  <si>
    <t>EMBI EMEA (bps)</t>
  </si>
  <si>
    <t>JPEEMEA Index</t>
  </si>
  <si>
    <t>tips_5y</t>
  </si>
  <si>
    <t>US TIPS 5Y Real Yield (%)</t>
  </si>
  <si>
    <t>H15T5Y Index</t>
  </si>
  <si>
    <t>tips_10y</t>
  </si>
  <si>
    <t>US TIPS 10Y Real Yield (%)</t>
  </si>
  <si>
    <t>H15T10Y Index</t>
  </si>
  <si>
    <t>real_yield_de_10y</t>
  </si>
  <si>
    <t>Bund Real Yield 10Y (%)</t>
  </si>
  <si>
    <t>GTDEM10YR Govt</t>
  </si>
  <si>
    <t>real_yield_uk_10y</t>
  </si>
  <si>
    <t>Gilt Real Yield 10Y (%)</t>
  </si>
  <si>
    <t>GUKG10R Index</t>
  </si>
  <si>
    <t>breakeven_us_10y</t>
  </si>
  <si>
    <t>Breakeven US 10Y (%)</t>
  </si>
  <si>
    <t>USGGBE10 Index</t>
  </si>
  <si>
    <t>breakeven_us_5y</t>
  </si>
  <si>
    <t>Breakeven US 5Y (%)</t>
  </si>
  <si>
    <t>USGGBE05 Index</t>
  </si>
  <si>
    <t>breakeven_de_10y</t>
  </si>
  <si>
    <t>Breakeven Alemania 10Y (%)</t>
  </si>
  <si>
    <t>DEGGBE10 Index</t>
  </si>
  <si>
    <t>breakeven_uk_10y</t>
  </si>
  <si>
    <t>Breakeven UK 10Y (%)</t>
  </si>
  <si>
    <t>UKGGBE10 Index</t>
  </si>
  <si>
    <t>cpi_headline_yoy</t>
  </si>
  <si>
    <t>CPI Headline YoY (%)</t>
  </si>
  <si>
    <t>CPI YOY Index</t>
  </si>
  <si>
    <t>cpi_core_yoy</t>
  </si>
  <si>
    <t>CPI Core YoY (%)</t>
  </si>
  <si>
    <t>CPI XYOY Index</t>
  </si>
  <si>
    <t>pce_headline_yoy</t>
  </si>
  <si>
    <t>PCE Headline YoY (%)</t>
  </si>
  <si>
    <t>PCE DEFY Index</t>
  </si>
  <si>
    <t>pce_core_yoy</t>
  </si>
  <si>
    <t>PCE Core YoY (%)</t>
  </si>
  <si>
    <t>PCE CYOY Index</t>
  </si>
  <si>
    <t>cpi_shelter_yoy</t>
  </si>
  <si>
    <t>CPI Shelter YoY (%)</t>
  </si>
  <si>
    <t>CPI SHLT Index</t>
  </si>
  <si>
    <t>cpi_energy_yoy</t>
  </si>
  <si>
    <t>CPI Energy YoY (%)</t>
  </si>
  <si>
    <t>CPI ENRG Index</t>
  </si>
  <si>
    <t>flujo_equity_usa</t>
  </si>
  <si>
    <t>EPFR Equity USA (USD mn)</t>
  </si>
  <si>
    <t>EPFRUSEA Index</t>
  </si>
  <si>
    <t>flujo_equity_europa</t>
  </si>
  <si>
    <t>EPFR Equity Europa (USD mn)</t>
  </si>
  <si>
    <t>EPFREQEU Index</t>
  </si>
  <si>
    <t>flujo_equity_em</t>
  </si>
  <si>
    <t>EPFR Equity EM (USD mn)</t>
  </si>
  <si>
    <t>EPFREQEM Index</t>
  </si>
  <si>
    <t>flujo_equity_japan</t>
  </si>
  <si>
    <t>EPFR Equity Japon (USD mn)</t>
  </si>
  <si>
    <t>EPFREQJP Index</t>
  </si>
  <si>
    <t>flujo_bond_ig</t>
  </si>
  <si>
    <t>EPFR Bond IG (USD mn)</t>
  </si>
  <si>
    <t>EPFRBDIG Index</t>
  </si>
  <si>
    <t>flujo_bond_hy</t>
  </si>
  <si>
    <t>EPFR Bond HY (USD mn)</t>
  </si>
  <si>
    <t>EPFRBDHY Index</t>
  </si>
  <si>
    <t>flujo_bond_em</t>
  </si>
  <si>
    <t>EPFR Bond EM (USD mn)</t>
  </si>
  <si>
    <t>EPFRBDEM Index</t>
  </si>
  <si>
    <t>aaii_bullish</t>
  </si>
  <si>
    <t>AAII % Bullish (%)</t>
  </si>
  <si>
    <t>AAIIBULL Index</t>
  </si>
  <si>
    <t>aaii_bearish</t>
  </si>
  <si>
    <t>AAII % Bearish (%)</t>
  </si>
  <si>
    <t>AAIIBEAR Index</t>
  </si>
  <si>
    <t>put_call_ratio</t>
  </si>
  <si>
    <t>Put/Call Ratio Equity (ratio)</t>
  </si>
  <si>
    <t>PCUSEQTR Index</t>
  </si>
  <si>
    <t>naaim_exposure</t>
  </si>
  <si>
    <t>NAAIM Exposure (%)</t>
  </si>
  <si>
    <t>NAAIM Index</t>
  </si>
  <si>
    <t>inv_intel_bulls</t>
  </si>
  <si>
    <t>Investors Intel Bulls (%)</t>
  </si>
  <si>
    <t>INELBULL Index</t>
  </si>
  <si>
    <t>inv_intel_bears</t>
  </si>
  <si>
    <t>Investors Intel Bears (%)</t>
  </si>
  <si>
    <t>INELBEAR Index</t>
  </si>
  <si>
    <t>pe_spx</t>
  </si>
  <si>
    <t>PE Fwd S&amp;P 500 (x)</t>
  </si>
  <si>
    <t>SPX Index</t>
  </si>
  <si>
    <t>BEST_PE_RATIO</t>
  </si>
  <si>
    <t>pe_ndx</t>
  </si>
  <si>
    <t>PE Fwd Nasdaq 100 (x)</t>
  </si>
  <si>
    <t>NDX Index</t>
  </si>
  <si>
    <t>pe_stoxx600</t>
  </si>
  <si>
    <t>PE Fwd STOXX 600 (x)</t>
  </si>
  <si>
    <t>SXXP Index</t>
  </si>
  <si>
    <t>pe_topix</t>
  </si>
  <si>
    <t>PE Fwd TOPIX (x)</t>
  </si>
  <si>
    <t>TPX Index</t>
  </si>
  <si>
    <t>pe_msci_em</t>
  </si>
  <si>
    <t>PE Fwd MSCI EM (x)</t>
  </si>
  <si>
    <t>MXEF Index</t>
  </si>
  <si>
    <t>pe_tech</t>
  </si>
  <si>
    <t>PE Fwd Tech (S&amp;P) (x)</t>
  </si>
  <si>
    <t>S5INFT Index</t>
  </si>
  <si>
    <t>pe_healthcare</t>
  </si>
  <si>
    <t>PE Fwd Healthcare (x)</t>
  </si>
  <si>
    <t>S5HLTH Index</t>
  </si>
  <si>
    <t>pe_financials</t>
  </si>
  <si>
    <t>PE Fwd Financials (x)</t>
  </si>
  <si>
    <t>S5FINL Index</t>
  </si>
  <si>
    <t>pe_energy</t>
  </si>
  <si>
    <t>PE Fwd Energy (x)</t>
  </si>
  <si>
    <t>S5ENRS Index</t>
  </si>
  <si>
    <t>pe_industrials</t>
  </si>
  <si>
    <t>PE Fwd Industrials (x)</t>
  </si>
  <si>
    <t>S5INDU Index</t>
  </si>
  <si>
    <t>pe_consumer_disc</t>
  </si>
  <si>
    <t>PE Fwd Consumer Disc (x)</t>
  </si>
  <si>
    <t>S5COND Index</t>
  </si>
  <si>
    <t>pe_consumer_stap</t>
  </si>
  <si>
    <t>PE Fwd Consumer Stap (x)</t>
  </si>
  <si>
    <t>S5CONS Index</t>
  </si>
  <si>
    <t>pe_comm_svcs</t>
  </si>
  <si>
    <t>PE Fwd Comm Services (x)</t>
  </si>
  <si>
    <t>S5TELS Index</t>
  </si>
  <si>
    <t>pe_materials</t>
  </si>
  <si>
    <t>PE Fwd Materials (x)</t>
  </si>
  <si>
    <t>S5MATR Index</t>
  </si>
  <si>
    <t>vix</t>
  </si>
  <si>
    <t>VIX (S&amp;P 500 Vol) (indice)</t>
  </si>
  <si>
    <t>VIX Index</t>
  </si>
  <si>
    <t>move</t>
  </si>
  <si>
    <t>MOVE (Treasury Vol) (indice)</t>
  </si>
  <si>
    <t>MOVE Index</t>
  </si>
  <si>
    <t>vxeem</t>
  </si>
  <si>
    <t>VXEEM (EM Vol) (indice)</t>
  </si>
  <si>
    <t>VXEEM Index</t>
  </si>
  <si>
    <t>skew</t>
  </si>
  <si>
    <t>SKEW (Tail Risk) (indice)</t>
  </si>
  <si>
    <t>SKEW Index</t>
  </si>
  <si>
    <t>vix_3m</t>
  </si>
  <si>
    <t>VIX 3M (indice)</t>
  </si>
  <si>
    <t>VIX3M Index</t>
  </si>
  <si>
    <t>v2x</t>
  </si>
  <si>
    <t>V2X (EuroStoxx Vol) (indice)</t>
  </si>
  <si>
    <t>V2X Index</t>
  </si>
  <si>
    <t>gvz</t>
  </si>
  <si>
    <t>GVZ (Gold Vol) (indice)</t>
  </si>
  <si>
    <t>GVZ Index</t>
  </si>
  <si>
    <t>lei_usa</t>
  </si>
  <si>
    <t>Leading Econ Indicators (indice)</t>
  </si>
  <si>
    <t>LEI TOTL Index</t>
  </si>
  <si>
    <t>cfnai</t>
  </si>
  <si>
    <t>Chicago Fed Natl Activity (indice)</t>
  </si>
  <si>
    <t>CFNAI Index</t>
  </si>
  <si>
    <t>nfib_optimism</t>
  </si>
  <si>
    <t>NFIB Small Business (indice)</t>
  </si>
  <si>
    <t>SBOITOTL Index</t>
  </si>
  <si>
    <t>umich_sentiment</t>
  </si>
  <si>
    <t>Michigan Consumer Sent (indice)</t>
  </si>
  <si>
    <t>CONSSENT Index</t>
  </si>
  <si>
    <t>ism_new_orders</t>
  </si>
  <si>
    <t>ISM New Orders (indice)</t>
  </si>
  <si>
    <t>NAPMNEWO Index</t>
  </si>
  <si>
    <t>adp_employment</t>
  </si>
  <si>
    <t>ADP Employment Chg (k)</t>
  </si>
  <si>
    <t>ADP CHNG Index</t>
  </si>
  <si>
    <t>ipsa</t>
  </si>
  <si>
    <t>IPSA (indice)</t>
  </si>
  <si>
    <t>IPSA Index</t>
  </si>
  <si>
    <t>usdclp</t>
  </si>
  <si>
    <t>USD/CLP (CLP)</t>
  </si>
  <si>
    <t>USDCLP Curncy</t>
  </si>
  <si>
    <t>bcp_10y</t>
  </si>
  <si>
    <t>BCP Chile 10Y (%)</t>
  </si>
  <si>
    <t>GICL10YR Index</t>
  </si>
  <si>
    <t>chile_cpi_yoy</t>
  </si>
  <si>
    <t>Chile CPI YoY (%)</t>
  </si>
  <si>
    <t>CLCPIYOY Index</t>
  </si>
  <si>
    <t>tpm_chile</t>
  </si>
  <si>
    <t>TPM Chile (%)</t>
  </si>
  <si>
    <t>CHBCRF Index</t>
  </si>
  <si>
    <t>Hoja</t>
  </si>
  <si>
    <t>Campo ID</t>
  </si>
  <si>
    <t>Bloomberg Ticker</t>
  </si>
  <si>
    <t>BDH Field</t>
  </si>
  <si>
    <t>Descripcion</t>
  </si>
  <si>
    <t>Unidad</t>
  </si>
  <si>
    <t>Bloque</t>
  </si>
  <si>
    <t>PMI</t>
  </si>
  <si>
    <t>ISM Manufacturing USA</t>
  </si>
  <si>
    <t>indice</t>
  </si>
  <si>
    <t>Row 1</t>
  </si>
  <si>
    <t>ISM Services USA</t>
  </si>
  <si>
    <t>Row 136</t>
  </si>
  <si>
    <t>PMI Mfg Eurozona</t>
  </si>
  <si>
    <t>Row 271</t>
  </si>
  <si>
    <t>PMI Svc Eurozona</t>
  </si>
  <si>
    <t>Row 406</t>
  </si>
  <si>
    <t>PMI Composite Eurozona</t>
  </si>
  <si>
    <t>Row 541</t>
  </si>
  <si>
    <t>PMI Mfg China (NBS)</t>
  </si>
  <si>
    <t>Row 676</t>
  </si>
  <si>
    <t>Caixin Composite China</t>
  </si>
  <si>
    <t>Row 811</t>
  </si>
  <si>
    <t>PMI Mfg Japon</t>
  </si>
  <si>
    <t>Row 946</t>
  </si>
  <si>
    <t>JPM Global Composite</t>
  </si>
  <si>
    <t>Row 1081</t>
  </si>
  <si>
    <t>PMI Mfg UK</t>
  </si>
  <si>
    <t>Row 1216</t>
  </si>
  <si>
    <t>PMI Mfg India</t>
  </si>
  <si>
    <t>Row 1351</t>
  </si>
  <si>
    <t>China</t>
  </si>
  <si>
    <t>Exportaciones YoY</t>
  </si>
  <si>
    <t>%</t>
  </si>
  <si>
    <t>Importaciones YoY</t>
  </si>
  <si>
    <t>Balanza Comercial</t>
  </si>
  <si>
    <t>USD bn</t>
  </si>
  <si>
    <t>Total Social Financing YoY</t>
  </si>
  <si>
    <t>M2 Money Supply YoY</t>
  </si>
  <si>
    <t>PPI YoY</t>
  </si>
  <si>
    <t>CPI YoY</t>
  </si>
  <si>
    <t>New Yuan Loans</t>
  </si>
  <si>
    <t>CNY bn</t>
  </si>
  <si>
    <t>Iron Ore 62% Fe</t>
  </si>
  <si>
    <t>USD/t</t>
  </si>
  <si>
    <t>Copper Future</t>
  </si>
  <si>
    <t>USD/lb</t>
  </si>
  <si>
    <t>Caixin Mfg PMI</t>
  </si>
  <si>
    <t>CDS</t>
  </si>
  <si>
    <t>USA CDS 5Y</t>
  </si>
  <si>
    <t>bps</t>
  </si>
  <si>
    <t>Alemania CDS 5Y</t>
  </si>
  <si>
    <t>UK CDS 5Y</t>
  </si>
  <si>
    <t>Japon CDS 5Y</t>
  </si>
  <si>
    <t>Francia CDS 5Y</t>
  </si>
  <si>
    <t>Italia CDS 5Y</t>
  </si>
  <si>
    <t>Espana CDS 5Y</t>
  </si>
  <si>
    <t>Brasil CDS 5Y</t>
  </si>
  <si>
    <t>Mexico CDS 5Y</t>
  </si>
  <si>
    <t>Colombia CDS 5Y</t>
  </si>
  <si>
    <t>Peru CDS 5Y</t>
  </si>
  <si>
    <t>Chile CDS 5Y</t>
  </si>
  <si>
    <t>Row 1486</t>
  </si>
  <si>
    <t>China CDS 5Y</t>
  </si>
  <si>
    <t>Row 1621</t>
  </si>
  <si>
    <t>Turquia CDS 5Y</t>
  </si>
  <si>
    <t>Row 1756</t>
  </si>
  <si>
    <t>Credit_Spreads</t>
  </si>
  <si>
    <t>OAS IG Total (US)</t>
  </si>
  <si>
    <t>OAS HY Total (US)</t>
  </si>
  <si>
    <t>OAS BBB</t>
  </si>
  <si>
    <t>OAS BB</t>
  </si>
  <si>
    <t>OAS Financiero</t>
  </si>
  <si>
    <t>OAS Industrial</t>
  </si>
  <si>
    <t>OAS Utilities</t>
  </si>
  <si>
    <t>OAS Tecnologia</t>
  </si>
  <si>
    <t>OAS Salud/Healthcare</t>
  </si>
  <si>
    <t>OAS Energia</t>
  </si>
  <si>
    <t>OAS Consumo</t>
  </si>
  <si>
    <t>OAS Telecom</t>
  </si>
  <si>
    <t>OAS IG Europa</t>
  </si>
  <si>
    <t>EM_Spreads</t>
  </si>
  <si>
    <t>EMBI+ Composite</t>
  </si>
  <si>
    <t>EMBI Brasil</t>
  </si>
  <si>
    <t>EMBI Mexico</t>
  </si>
  <si>
    <t>EMBI Colombia</t>
  </si>
  <si>
    <t>EMBI Chile</t>
  </si>
  <si>
    <t>CEMBI Composite</t>
  </si>
  <si>
    <t>EMBI Asia</t>
  </si>
  <si>
    <t>EMBI EMEA</t>
  </si>
  <si>
    <t>Real_Yields</t>
  </si>
  <si>
    <t>US TIPS 5Y Real Yield</t>
  </si>
  <si>
    <t>US TIPS 10Y Real Yield</t>
  </si>
  <si>
    <t>Bund Real Yield 10Y</t>
  </si>
  <si>
    <t>Gilt Real Yield 10Y</t>
  </si>
  <si>
    <t>Breakeven US 10Y</t>
  </si>
  <si>
    <t>Breakeven US 5Y</t>
  </si>
  <si>
    <t>Breakeven Alemania 10Y</t>
  </si>
  <si>
    <t>Breakeven UK 10Y</t>
  </si>
  <si>
    <t>CPI_Componentes</t>
  </si>
  <si>
    <t>CPI Headline YoY</t>
  </si>
  <si>
    <t>CPI Core YoY</t>
  </si>
  <si>
    <t>PCE Headline YoY</t>
  </si>
  <si>
    <t>PCE Core YoY</t>
  </si>
  <si>
    <t>CPI Shelter YoY</t>
  </si>
  <si>
    <t>CPI Energy YoY</t>
  </si>
  <si>
    <t>EPFR_Flows</t>
  </si>
  <si>
    <t>EPFR Equity USA</t>
  </si>
  <si>
    <t>USD mn</t>
  </si>
  <si>
    <t>EPFR Equity Europa</t>
  </si>
  <si>
    <t>EPFR Equity EM</t>
  </si>
  <si>
    <t>EPFR Equity Japon</t>
  </si>
  <si>
    <t>EPFR Bond IG</t>
  </si>
  <si>
    <t>EPFR Bond HY</t>
  </si>
  <si>
    <t>EPFR Bond EM</t>
  </si>
  <si>
    <t>Positioning</t>
  </si>
  <si>
    <t>AAII % Bullish</t>
  </si>
  <si>
    <t>AAII % Bearish</t>
  </si>
  <si>
    <t>Put/Call Ratio Equity</t>
  </si>
  <si>
    <t>ratio</t>
  </si>
  <si>
    <t>NAAIM Exposure</t>
  </si>
  <si>
    <t>Investors Intel Bulls</t>
  </si>
  <si>
    <t>Investors Intel Bears</t>
  </si>
  <si>
    <t>Valuaciones</t>
  </si>
  <si>
    <t>PE Fwd S&amp;P 500</t>
  </si>
  <si>
    <t>x</t>
  </si>
  <si>
    <t>PE Fwd Nasdaq 100</t>
  </si>
  <si>
    <t>PE Fwd STOXX 600</t>
  </si>
  <si>
    <t>PE Fwd TOPIX</t>
  </si>
  <si>
    <t>PE Fwd MSCI EM</t>
  </si>
  <si>
    <t>PE Fwd Tech (S&amp;P)</t>
  </si>
  <si>
    <t>PE Fwd Healthcare</t>
  </si>
  <si>
    <t>PE Fwd Financials</t>
  </si>
  <si>
    <t>PE Fwd Energy</t>
  </si>
  <si>
    <t>PE Fwd Industrials</t>
  </si>
  <si>
    <t>PE Fwd Consumer Disc</t>
  </si>
  <si>
    <t>PE Fwd Consumer Stap</t>
  </si>
  <si>
    <t>PE Fwd Comm Services</t>
  </si>
  <si>
    <t>PE Fwd Materials</t>
  </si>
  <si>
    <t>Volatility</t>
  </si>
  <si>
    <t>VIX (S&amp;P 500 Vol)</t>
  </si>
  <si>
    <t>MOVE (Treasury Vol)</t>
  </si>
  <si>
    <t>VXEEM (EM Vol)</t>
  </si>
  <si>
    <t>SKEW (Tail Risk)</t>
  </si>
  <si>
    <t>VIX 3M</t>
  </si>
  <si>
    <t>V2X (EuroStoxx Vol)</t>
  </si>
  <si>
    <t>GVZ (Gold Vol)</t>
  </si>
  <si>
    <t>Macro_Conditions</t>
  </si>
  <si>
    <t>Leading Econ Indicators</t>
  </si>
  <si>
    <t>Chicago Fed Natl Activity</t>
  </si>
  <si>
    <t>NFIB Small Business</t>
  </si>
  <si>
    <t>Michigan Consumer Sent</t>
  </si>
  <si>
    <t>ISM New Orders</t>
  </si>
  <si>
    <t>ADP Employment Chg</t>
  </si>
  <si>
    <t>k</t>
  </si>
  <si>
    <t>Chile</t>
  </si>
  <si>
    <t>IPSA</t>
  </si>
  <si>
    <t>USD/CLP</t>
  </si>
  <si>
    <t>CLP</t>
  </si>
  <si>
    <t>BCP Chile 10Y</t>
  </si>
  <si>
    <t>Chile CPI YoY</t>
  </si>
  <si>
    <t>TPM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</si>
</sst>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i/>
      <sz val="9"/>
      <color rgb="FF666666"/>
      <name val="Segoe UI"/>
    </font>
    <font>
      <b/>
      <sz val="14"/>
      <color rgb="FFDD6B20"/>
      <name val="Segoe UI"/>
    </font>
    <font>
      <b/>
      <sz val="11"/>
      <color rgb="FF1A1A1A"/>
      <name val="Segoe UI"/>
    </font>
    <font>
      <sz val="8"/>
      <color rgb="FF888888"/>
      <name val="Segoe UI"/>
    </font>
    <font>
      <b/>
      <sz val="10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/>
    <xf numFmtId="0" fontId="6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BDH|14276265716184516914</stp>
        <tr r="A272" s="12"/>
      </tp>
      <tp t="s">
        <v>#N/A N/A</v>
        <stp/>
        <stp>BDH|16949340986190018704</stp>
        <tr r="A542" s="7"/>
      </tp>
      <tp t="s">
        <v>#N/A N/A</v>
        <stp/>
        <stp>BDH|15016959071364339466</stp>
        <tr r="A137" s="7"/>
      </tp>
      <tp t="s">
        <v>#N/A N/A</v>
        <stp/>
        <stp>BDH|14203275986224437175</stp>
        <tr r="A812" s="10"/>
      </tp>
      <tp t="s">
        <v>#N/A N/A</v>
        <stp/>
        <stp>BDH|16044516603151357917</stp>
        <tr r="A137" s="15"/>
      </tp>
      <tp t="s">
        <v>#N/A N/A</v>
        <stp/>
        <stp>BDH|12065126670648866779</stp>
        <tr r="A1487" s="6"/>
      </tp>
      <tp t="s">
        <v>#N/A N/A</v>
        <stp/>
        <stp>BDH|11953283905588007300</stp>
        <tr r="A1082" s="3"/>
      </tp>
      <tp t="s">
        <v>#N/A N/A</v>
        <stp/>
        <stp>BDH|17818262721596542954</stp>
        <tr r="A677" s="10"/>
      </tp>
      <tp t="s">
        <v>#N/A N/A</v>
        <stp/>
        <stp>BDH|14049700480605129704</stp>
        <tr r="A2" s="12"/>
      </tp>
      <tp t="s">
        <v>#N/A N/A</v>
        <stp/>
        <stp>BDH|10573070941198102527</stp>
        <tr r="A812" s="5"/>
      </tp>
      <tp t="s">
        <v>#N/A N/A</v>
        <stp/>
        <stp>BDH|15134152771022749879</stp>
        <tr r="A407" s="7"/>
      </tp>
      <tp t="s">
        <v>#N/A N/A</v>
        <stp/>
        <stp>BDH|18145291604357995422</stp>
        <tr r="A1622" s="12"/>
      </tp>
      <tp t="s">
        <v>#N/A N/A</v>
        <stp/>
        <stp>BDH|16836544291986477289</stp>
        <tr r="A947" s="6"/>
      </tp>
      <tp t="s">
        <v>#N/A N/A</v>
        <stp/>
        <stp>BDH|13732994246030985016</stp>
        <tr r="A1082" s="4"/>
      </tp>
      <tp t="s">
        <v>#N/A N/A</v>
        <stp/>
        <stp>BDH|14783978008960883331</stp>
        <tr r="A272" s="7"/>
      </tp>
      <tp t="s">
        <v>#N/A N/A</v>
        <stp/>
        <stp>BDH|10282258187152153639</stp>
        <tr r="A1352" s="4"/>
      </tp>
      <tp t="s">
        <v>#N/A N/A</v>
        <stp/>
        <stp>BDH|16086975104985782421</stp>
        <tr r="A1082" s="6"/>
      </tp>
      <tp t="s">
        <v>#N/A N/A</v>
        <stp/>
        <stp>BDH|12534323441573430891</stp>
        <tr r="A407" s="13"/>
      </tp>
      <tp t="s">
        <v>#N/A N/A</v>
        <stp/>
        <stp>BDH|11572310236258957674</stp>
        <tr r="A272" s="9"/>
      </tp>
      <tp t="s">
        <v>#N/A N/A</v>
        <stp/>
        <stp>BDH|13467748634519854133</stp>
        <tr r="A542" s="14"/>
      </tp>
    </main>
    <main first="bofaddin.rtdserver">
      <tp t="s">
        <v>#N/A N/A</v>
        <stp/>
        <stp>BDH|16034268614928515150</stp>
        <tr r="A677" s="5"/>
      </tp>
      <tp t="s">
        <v>#N/A N/A</v>
        <stp/>
        <stp>BDH|14049859989660188804</stp>
        <tr r="A1622" s="6"/>
      </tp>
      <tp t="s">
        <v>#N/A N/A</v>
        <stp/>
        <stp>BDH|10536987622743474596</stp>
        <tr r="A542" s="6"/>
      </tp>
      <tp t="s">
        <v>#N/A N/A</v>
        <stp/>
        <stp>BDH|18348569104447624864</stp>
        <tr r="A1487" s="12"/>
      </tp>
      <tp t="s">
        <v>#N/A N/A</v>
        <stp/>
        <stp>BDH|11064392171180623785</stp>
        <tr r="A677" s="9"/>
      </tp>
      <tp t="s">
        <v>#N/A N/A</v>
        <stp/>
        <stp>BDH|12268665491818604799</stp>
        <tr r="A2" s="11"/>
      </tp>
      <tp t="s">
        <v>#N/A N/A</v>
        <stp/>
        <stp>BDH|13425302471753365771</stp>
        <tr r="A1352" s="5"/>
      </tp>
      <tp t="s">
        <v>#N/A N/A</v>
        <stp/>
        <stp>BDH|13416374083563053804</stp>
        <tr r="A812" s="12"/>
      </tp>
      <tp t="s">
        <v>#N/A N/A</v>
        <stp/>
        <stp>BDH|14070051530174858076</stp>
        <tr r="A137" s="6"/>
      </tp>
      <tp t="s">
        <v>#N/A N/A</v>
        <stp/>
        <stp>BDH|16334101275861432126</stp>
        <tr r="A272" s="13"/>
      </tp>
      <tp t="s">
        <v>#N/A N/A</v>
        <stp/>
        <stp>BDH|11499181548503516767</stp>
        <tr r="A1082" s="5"/>
      </tp>
      <tp t="s">
        <v>#N/A N/A</v>
        <stp/>
        <stp>BDH|13418802064514079971</stp>
        <tr r="A407" s="10"/>
      </tp>
      <tp t="s">
        <v>#N/A N/A</v>
        <stp/>
        <stp>BDH|11425485509090182588</stp>
        <tr r="A542" s="8"/>
      </tp>
      <tp t="s">
        <v>#N/A N/A</v>
        <stp/>
        <stp>BDH|12727473527293860707</stp>
        <tr r="A947" s="3"/>
      </tp>
      <tp t="s">
        <v>#N/A N/A</v>
        <stp/>
        <stp>BDH|18352226653869086723</stp>
        <tr r="A407" s="14"/>
      </tp>
      <tp t="s">
        <v>#N/A N/A</v>
        <stp/>
        <stp>BDH|15034331771393849381</stp>
        <tr r="A542" s="11"/>
      </tp>
      <tp t="s">
        <v>#N/A N/A</v>
        <stp/>
        <stp>BDH|17405620142495670175</stp>
        <tr r="A677" s="3"/>
      </tp>
      <tp t="s">
        <v>#N/A N/A</v>
        <stp/>
        <stp>BDH|18348997123747607587</stp>
        <tr r="A272" s="11"/>
      </tp>
      <tp t="s">
        <v>#N/A N/A</v>
        <stp/>
        <stp>BDH|11884762447402797173</stp>
        <tr r="A1217" s="5"/>
      </tp>
      <tp t="s">
        <v>#N/A N/A</v>
        <stp/>
        <stp>BDH|16512190604556729017</stp>
        <tr r="A2" s="4"/>
      </tp>
      <tp t="s">
        <v>#N/A N/A</v>
        <stp/>
        <stp>BDH|15332809297833430152</stp>
        <tr r="A137" s="4"/>
      </tp>
      <tp t="s">
        <v>#N/A N/A</v>
        <stp/>
        <stp>BDH|16361775150182224007</stp>
        <tr r="A137" s="13"/>
      </tp>
      <tp t="s">
        <v>#N/A N/A</v>
        <stp/>
        <stp>BDH|10539033760654284578</stp>
        <tr r="A542" s="3"/>
      </tp>
      <tp t="s">
        <v>#N/A N/A</v>
        <stp/>
        <stp>BDH|15218590741357717451</stp>
        <tr r="A1622" s="5"/>
      </tp>
      <tp t="s">
        <v>#N/A N/A</v>
        <stp/>
        <stp>BDH|16196613636593849757</stp>
        <tr r="A1217" s="6"/>
      </tp>
      <tp t="s">
        <v>#N/A N/A</v>
        <stp/>
        <stp>BDH|10190727673150301789</stp>
        <tr r="A272" s="10"/>
      </tp>
      <tp t="s">
        <v>#N/A N/A</v>
        <stp/>
        <stp>BDH|13368716078732385642</stp>
        <tr r="A407" s="15"/>
      </tp>
      <tp t="s">
        <v>#N/A N/A</v>
        <stp/>
        <stp>BDH|12083038271956459761</stp>
        <tr r="A137" s="11"/>
      </tp>
      <tp t="s">
        <v>#N/A N/A</v>
        <stp/>
        <stp>BDH|13182475502134377720</stp>
        <tr r="A2" s="14"/>
      </tp>
      <tp t="s">
        <v>#N/A N/A</v>
        <stp/>
        <stp>BDH|13638188961910712019</stp>
        <tr r="A137" s="8"/>
      </tp>
      <tp t="s">
        <v>#N/A N/A</v>
        <stp/>
        <stp>BDH|10384781940945082277</stp>
        <tr r="A1487" s="5"/>
      </tp>
      <tp t="s">
        <v>#N/A N/A</v>
        <stp/>
        <stp>BDH|15608607470746420723</stp>
        <tr r="A1217" s="3"/>
      </tp>
      <tp t="s">
        <v>#N/A N/A</v>
        <stp/>
        <stp>BDH|11211609128330867046</stp>
        <tr r="A947" s="8"/>
      </tp>
      <tp t="s">
        <v>#N/A N/A</v>
        <stp/>
        <stp>BDH|11899920247469655031</stp>
        <tr r="A407" s="11"/>
      </tp>
      <tp t="s">
        <v>#N/A N/A</v>
        <stp/>
        <stp>BDH|10308615584172641987</stp>
        <tr r="A2" s="9"/>
      </tp>
      <tp t="s">
        <v>#N/A N/A</v>
        <stp/>
        <stp>BDH|15052389082233701875</stp>
        <tr r="A1757" s="5"/>
      </tp>
      <tp t="s">
        <v>#N/A N/A</v>
        <stp/>
        <stp>BDH|17122590951616014437</stp>
        <tr r="A137" s="5"/>
      </tp>
    </main>
    <main first="bofaddin.rtdserver">
      <tp t="s">
        <v>#N/A N/A</v>
        <stp/>
        <stp>BDH|4248483260618223336</stp>
        <tr r="A137" s="12"/>
      </tp>
      <tp t="s">
        <v>#N/A N/A</v>
        <stp/>
        <stp>BDH|5217175045795611893</stp>
        <tr r="A542" s="5"/>
      </tp>
      <tp t="s">
        <v>#N/A N/A</v>
        <stp/>
        <stp>BDH|8851826791995953167</stp>
        <tr r="A407" s="8"/>
      </tp>
      <tp t="s">
        <v>#N/A N/A</v>
        <stp/>
        <stp>BDH|1939933701965610312</stp>
        <tr r="A272" s="5"/>
      </tp>
      <tp t="s">
        <v>#N/A N/A</v>
        <stp/>
        <stp>BDH|8019360626274927388</stp>
        <tr r="A947" s="7"/>
      </tp>
      <tp t="s">
        <v>#N/A N/A</v>
        <stp/>
        <stp>BDH|5822006648799075667</stp>
        <tr r="A407" s="4"/>
      </tp>
      <tp t="s">
        <v>#N/A N/A</v>
        <stp/>
        <stp>BDH|1412727909689363036</stp>
        <tr r="A272" s="8"/>
      </tp>
      <tp t="s">
        <v>#N/A N/A</v>
        <stp/>
        <stp>BDH|7471066981938447871</stp>
        <tr r="A542" s="9"/>
      </tp>
      <tp t="s">
        <v>#N/A N/A</v>
        <stp/>
        <stp>BDH|6835690484951339600</stp>
        <tr r="A677" s="8"/>
      </tp>
      <tp t="s">
        <v>#N/A N/A</v>
        <stp/>
        <stp>BDH|9089380030631276027</stp>
        <tr r="A812" s="4"/>
      </tp>
      <tp t="s">
        <v>#N/A N/A</v>
        <stp/>
        <stp>BDH|8922947387331350070</stp>
        <tr r="A812" s="7"/>
      </tp>
      <tp t="s">
        <v>#N/A N/A</v>
        <stp/>
        <stp>BDH|3431004895233277113</stp>
        <tr r="A677" s="11"/>
      </tp>
      <tp t="s">
        <v>#N/A N/A</v>
        <stp/>
        <stp>BDH|1883067988000137174</stp>
        <tr r="A677" s="6"/>
      </tp>
      <tp t="s">
        <v>#N/A N/A</v>
        <stp/>
        <stp>BDH|9421547320892395464</stp>
        <tr r="A677" s="4"/>
      </tp>
      <tp t="s">
        <v>#N/A N/A</v>
        <stp/>
        <stp>BDH|6988744227439615365</stp>
        <tr r="A677" s="13"/>
      </tp>
      <tp t="s">
        <v>#N/A N/A</v>
        <stp/>
        <stp>BDH|8298107034564935701</stp>
        <tr r="A407" s="6"/>
      </tp>
      <tp t="s">
        <v>#N/A N/A</v>
        <stp/>
        <stp>BDH|1544073349979601520</stp>
        <tr r="A542" s="12"/>
      </tp>
      <tp t="s">
        <v>#N/A N/A</v>
        <stp/>
        <stp>BDH|2695548097277080091</stp>
        <tr r="A2" s="10"/>
      </tp>
      <tp t="s">
        <v>#N/A N/A</v>
        <stp/>
        <stp>BDH|1642480460718534269</stp>
        <tr r="A272" s="3"/>
      </tp>
      <tp t="s">
        <v>#N/A N/A</v>
        <stp/>
        <stp>BDH|6166965564595447556</stp>
        <tr r="A2" s="5"/>
      </tp>
      <tp t="s">
        <v>#N/A N/A</v>
        <stp/>
        <stp>BDH|5579204287441754752</stp>
        <tr r="A542" s="10"/>
      </tp>
      <tp t="s">
        <v>#N/A N/A</v>
        <stp/>
        <stp>BDH|9623643337776305316</stp>
        <tr r="A407" s="5"/>
      </tp>
      <tp t="s">
        <v>#N/A N/A</v>
        <stp/>
        <stp>BDH|8918487413764980337</stp>
        <tr r="A2" s="7"/>
      </tp>
      <tp t="s">
        <v>#N/A N/A</v>
        <stp/>
        <stp>BDH|2127864758615893094</stp>
        <tr r="A272" s="14"/>
      </tp>
      <tp t="s">
        <v>#N/A N/A</v>
        <stp/>
        <stp>BDH|1329402109656038956</stp>
        <tr r="A677" s="7"/>
      </tp>
      <tp t="s">
        <v>#N/A N/A</v>
        <stp/>
        <stp>BDH|5603097703977348882</stp>
        <tr r="A812" s="3"/>
      </tp>
      <tp t="s">
        <v>#N/A N/A</v>
        <stp/>
        <stp>BDH|7113677570724212805</stp>
        <tr r="A542" s="15"/>
      </tp>
      <tp t="s">
        <v>#N/A N/A</v>
        <stp/>
        <stp>BDH|6953428524483506819</stp>
        <tr r="A812" s="8"/>
      </tp>
      <tp t="s">
        <v>#N/A N/A</v>
        <stp/>
        <stp>BDH|2699424075353196973</stp>
        <tr r="A542" s="13"/>
      </tp>
      <tp t="s">
        <v>#N/A N/A</v>
        <stp/>
        <stp>BDH|7332818383685886612</stp>
        <tr r="A407" s="3"/>
      </tp>
      <tp t="s">
        <v>#N/A N/A</v>
        <stp/>
        <stp>BDH|1787016267395910683</stp>
        <tr r="A137" s="9"/>
      </tp>
      <tp t="s">
        <v>#N/A N/A</v>
        <stp/>
        <stp>BDH|6424655762524308675</stp>
        <tr r="A812" s="13"/>
      </tp>
      <tp t="s">
        <v>#N/A N/A</v>
        <stp/>
        <stp>BDH|5059033030290980304</stp>
        <tr r="A2" s="13"/>
      </tp>
      <tp t="s">
        <v>#N/A N/A</v>
        <stp/>
        <stp>BDH|9889876051105373760</stp>
        <tr r="A137" s="3"/>
      </tp>
      <tp t="s">
        <v>#N/A N/A</v>
        <stp/>
        <stp>BDH|6423428778170301308</stp>
        <tr r="A272" s="15"/>
      </tp>
      <tp t="s">
        <v>#N/A N/A</v>
        <stp/>
        <stp>BDH|2813102146752375392</stp>
        <tr r="A1352" s="12"/>
      </tp>
      <tp t="s">
        <v>#N/A N/A</v>
        <stp/>
        <stp>BDH|9176492540847579907</stp>
        <tr r="A2" s="8"/>
      </tp>
      <tp t="s">
        <v>#N/A N/A</v>
        <stp/>
        <stp>BDH|6930061377914921208</stp>
        <tr r="A137" s="14"/>
      </tp>
      <tp t="s">
        <v>#N/A N/A</v>
        <stp/>
        <stp>BDH|2630742152708842978</stp>
        <tr r="A137" s="10"/>
      </tp>
      <tp t="s">
        <v>#N/A N/A</v>
        <stp/>
        <stp>BDH|3392125031249951964</stp>
        <tr r="A1352" s="6"/>
      </tp>
      <tp t="s">
        <v>#N/A N/A</v>
        <stp/>
        <stp>BDH|4097552345251411574</stp>
        <tr r="A407" s="12"/>
      </tp>
      <tp t="s">
        <v>#N/A N/A</v>
        <stp/>
        <stp>BDH|5121279654103343004</stp>
        <tr r="A1217" s="4"/>
      </tp>
      <tp t="s">
        <v>#N/A N/A</v>
        <stp/>
        <stp>BDH|71413388728703837</stp>
        <tr r="A677" s="14"/>
      </tp>
      <tp t="s">
        <v>#N/A N/A</v>
        <stp/>
        <stp>BDH|6621558339070966290</stp>
        <tr r="A272" s="6"/>
      </tp>
      <tp t="s">
        <v>#N/A N/A</v>
        <stp/>
        <stp>BDH|6013430767696461086</stp>
        <tr r="A677" s="12"/>
      </tp>
      <tp t="s">
        <v>#N/A N/A</v>
        <stp/>
        <stp>BDH|3739236240996511182</stp>
        <tr r="A812" s="6"/>
      </tp>
      <tp t="s">
        <v>#N/A N/A</v>
        <stp/>
        <stp>BDH|6406465662201582745</stp>
        <tr r="A947" s="12"/>
      </tp>
      <tp t="s">
        <v>#N/A N/A</v>
        <stp/>
        <stp>BDH|7990105096824095998</stp>
        <tr r="A947" s="4"/>
      </tp>
      <tp t="s">
        <v>#N/A N/A</v>
        <stp/>
        <stp>BDH|6707849207228444514</stp>
        <tr r="A407" s="9"/>
      </tp>
      <tp t="s">
        <v>#N/A N/A</v>
        <stp/>
        <stp>BDH|7015754056322486437</stp>
        <tr r="A2" s="15"/>
      </tp>
    </main>
    <main first="bofaddin.rtdserver">
      <tp t="s">
        <v>#N/A N/A</v>
        <stp/>
        <stp>BDH|336572430414153738</stp>
        <tr r="A2" s="6"/>
      </tp>
      <tp t="s">
        <v>#N/A N/A</v>
        <stp/>
        <stp>BDH|201448767131940701</stp>
        <tr r="A272" s="4"/>
      </tp>
      <tp t="s">
        <v>#N/A N/A</v>
        <stp/>
        <stp>BDH|833030556881853397</stp>
        <tr r="A1082" s="12"/>
      </tp>
      <tp t="s">
        <v>#N/A N/A</v>
        <stp/>
        <stp>BDH|945053143684668708</stp>
        <tr r="A1217" s="12"/>
      </tp>
      <tp t="s">
        <v>#N/A N/A</v>
        <stp/>
        <stp>BDH|142231541960593595</stp>
        <tr r="A1352" s="3"/>
      </tp>
      <tp t="s">
        <v>#N/A N/A</v>
        <stp/>
        <stp>BDH|932950561611179239</stp>
        <tr r="A2" s="3"/>
      </tp>
      <tp t="s">
        <v>#N/A N/A</v>
        <stp/>
        <stp>BDH|330339192800059563</stp>
        <tr r="A542" s="4"/>
      </tp>
      <tp t="s">
        <v>#N/A N/A</v>
        <stp/>
        <stp>BDH|166935755091755371</stp>
        <tr r="A947" s="5"/>
      </tp>
      <tp t="s">
        <v>#N/A N/A</v>
        <stp/>
        <stp>BDH|498840926814545551</stp>
        <tr r="A1757" s="1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9999"/>
  </sheetPr>
  <dimension ref="A1:C7"/>
  <sheetViews>
    <sheetView workbookViewId="0"/>
  </sheetViews>
  <sheetFormatPr baseColWidth="10" defaultColWidth="9.140625" defaultRowHeight="15" x14ac:dyDescent="0.25"/>
  <cols>
    <col min="1" max="1" width="25" customWidth="1"/>
    <col min="2" max="2" width="30" customWidth="1"/>
    <col min="3" max="3" width="50" customWidth="1"/>
  </cols>
  <sheetData>
    <row r="1" spans="1:3" ht="16.5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3" t="s">
        <v>4</v>
      </c>
    </row>
    <row r="3" spans="1:3" x14ac:dyDescent="0.25">
      <c r="A3" s="2" t="s">
        <v>5</v>
      </c>
      <c r="B3" s="2" t="s">
        <v>6</v>
      </c>
      <c r="C3" s="3" t="s">
        <v>7</v>
      </c>
    </row>
    <row r="4" spans="1:3" x14ac:dyDescent="0.25">
      <c r="A4" s="2" t="s">
        <v>8</v>
      </c>
      <c r="B4" s="2" t="s">
        <v>9</v>
      </c>
      <c r="C4" s="3" t="s">
        <v>10</v>
      </c>
    </row>
    <row r="5" spans="1:3" x14ac:dyDescent="0.25">
      <c r="A5" s="2" t="s">
        <v>11</v>
      </c>
      <c r="B5" s="2" t="s">
        <v>12</v>
      </c>
      <c r="C5" s="3" t="s">
        <v>13</v>
      </c>
    </row>
    <row r="6" spans="1:3" x14ac:dyDescent="0.25">
      <c r="A6" s="2" t="s">
        <v>14</v>
      </c>
      <c r="B6" s="2" t="s">
        <v>15</v>
      </c>
      <c r="C6" s="3" t="s">
        <v>16</v>
      </c>
    </row>
    <row r="7" spans="1:3" x14ac:dyDescent="0.25">
      <c r="A7" s="2" t="s">
        <v>17</v>
      </c>
      <c r="B7" s="2" t="s">
        <v>18</v>
      </c>
      <c r="C7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6B20"/>
  </sheetPr>
  <dimension ref="A1:A38"/>
  <sheetViews>
    <sheetView workbookViewId="0"/>
  </sheetViews>
  <sheetFormatPr baseColWidth="10" defaultColWidth="9.140625" defaultRowHeight="15" x14ac:dyDescent="0.25"/>
  <cols>
    <col min="1" max="1" width="80" customWidth="1"/>
  </cols>
  <sheetData>
    <row r="1" spans="1:1" ht="20.25" x14ac:dyDescent="0.35">
      <c r="A1" s="4" t="s">
        <v>20</v>
      </c>
    </row>
    <row r="2" spans="1:1" x14ac:dyDescent="0.25">
      <c r="A2" s="2"/>
    </row>
    <row r="3" spans="1:1" ht="16.5" x14ac:dyDescent="0.3">
      <c r="A3" s="5" t="s">
        <v>21</v>
      </c>
    </row>
    <row r="4" spans="1:1" x14ac:dyDescent="0.25">
      <c r="A4" s="2" t="s">
        <v>22</v>
      </c>
    </row>
    <row r="5" spans="1:1" x14ac:dyDescent="0.25">
      <c r="A5" s="2"/>
    </row>
    <row r="6" spans="1:1" ht="16.5" x14ac:dyDescent="0.3">
      <c r="A6" s="5" t="s">
        <v>23</v>
      </c>
    </row>
    <row r="7" spans="1:1" x14ac:dyDescent="0.25">
      <c r="A7" s="2"/>
    </row>
    <row r="8" spans="1:1" x14ac:dyDescent="0.25">
      <c r="A8" s="2" t="s">
        <v>24</v>
      </c>
    </row>
    <row r="9" spans="1:1" x14ac:dyDescent="0.25">
      <c r="A9" s="2" t="s">
        <v>25</v>
      </c>
    </row>
    <row r="10" spans="1:1" x14ac:dyDescent="0.25">
      <c r="A10" s="2" t="s">
        <v>26</v>
      </c>
    </row>
    <row r="11" spans="1:1" x14ac:dyDescent="0.25">
      <c r="A11" s="2" t="s">
        <v>27</v>
      </c>
    </row>
    <row r="12" spans="1:1" x14ac:dyDescent="0.25">
      <c r="A12" s="2"/>
    </row>
    <row r="13" spans="1:1" ht="16.5" x14ac:dyDescent="0.3">
      <c r="A13" s="5" t="s">
        <v>28</v>
      </c>
    </row>
    <row r="14" spans="1:1" x14ac:dyDescent="0.25">
      <c r="A14" s="2" t="s">
        <v>29</v>
      </c>
    </row>
    <row r="15" spans="1:1" x14ac:dyDescent="0.25">
      <c r="A15" s="2" t="s">
        <v>30</v>
      </c>
    </row>
    <row r="16" spans="1:1" x14ac:dyDescent="0.25">
      <c r="A16" s="2" t="s">
        <v>31</v>
      </c>
    </row>
    <row r="17" spans="1:1" x14ac:dyDescent="0.25">
      <c r="A17" s="2"/>
    </row>
    <row r="18" spans="1:1" ht="16.5" x14ac:dyDescent="0.3">
      <c r="A18" s="5" t="s">
        <v>32</v>
      </c>
    </row>
    <row r="19" spans="1:1" x14ac:dyDescent="0.25">
      <c r="A19" s="2" t="s">
        <v>33</v>
      </c>
    </row>
    <row r="20" spans="1:1" x14ac:dyDescent="0.25">
      <c r="A20" s="2" t="s">
        <v>34</v>
      </c>
    </row>
    <row r="21" spans="1:1" x14ac:dyDescent="0.25">
      <c r="A21" s="2" t="s">
        <v>35</v>
      </c>
    </row>
    <row r="22" spans="1:1" x14ac:dyDescent="0.25">
      <c r="A22" s="2"/>
    </row>
    <row r="23" spans="1:1" ht="16.5" x14ac:dyDescent="0.3">
      <c r="A23" s="5" t="s">
        <v>36</v>
      </c>
    </row>
    <row r="24" spans="1:1" x14ac:dyDescent="0.25">
      <c r="A24" s="2" t="s">
        <v>37</v>
      </c>
    </row>
    <row r="25" spans="1:1" x14ac:dyDescent="0.25">
      <c r="A25" s="2" t="s">
        <v>38</v>
      </c>
    </row>
    <row r="26" spans="1:1" x14ac:dyDescent="0.25">
      <c r="A26" s="2" t="s">
        <v>39</v>
      </c>
    </row>
    <row r="27" spans="1:1" x14ac:dyDescent="0.25">
      <c r="A27" s="2" t="s">
        <v>40</v>
      </c>
    </row>
    <row r="28" spans="1:1" x14ac:dyDescent="0.25">
      <c r="A28" s="2" t="s">
        <v>41</v>
      </c>
    </row>
    <row r="29" spans="1:1" x14ac:dyDescent="0.25">
      <c r="A29" s="2" t="s">
        <v>42</v>
      </c>
    </row>
    <row r="30" spans="1:1" x14ac:dyDescent="0.25">
      <c r="A30" s="2" t="s">
        <v>43</v>
      </c>
    </row>
    <row r="31" spans="1:1" x14ac:dyDescent="0.25">
      <c r="A31" s="2" t="s">
        <v>44</v>
      </c>
    </row>
    <row r="32" spans="1:1" x14ac:dyDescent="0.25">
      <c r="A32" s="2" t="s">
        <v>45</v>
      </c>
    </row>
    <row r="33" spans="1:1" x14ac:dyDescent="0.25">
      <c r="A33" s="2" t="s">
        <v>46</v>
      </c>
    </row>
    <row r="34" spans="1:1" x14ac:dyDescent="0.25">
      <c r="A34" s="2" t="s">
        <v>47</v>
      </c>
    </row>
    <row r="35" spans="1:1" x14ac:dyDescent="0.25">
      <c r="A35" s="2" t="s">
        <v>48</v>
      </c>
    </row>
    <row r="36" spans="1:1" x14ac:dyDescent="0.25">
      <c r="A36" s="2" t="s">
        <v>49</v>
      </c>
    </row>
    <row r="37" spans="1:1" x14ac:dyDescent="0.25">
      <c r="A37" s="2"/>
    </row>
    <row r="38" spans="1:1" x14ac:dyDescent="0.25">
      <c r="A38" s="3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6CB0"/>
  </sheetPr>
  <dimension ref="A1:D1352"/>
  <sheetViews>
    <sheetView tabSelected="1" topLeftCell="A136" workbookViewId="0">
      <selection activeCell="B136" sqref="B136"/>
    </sheetView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51</v>
      </c>
      <c r="B1" s="6" t="s">
        <v>52</v>
      </c>
      <c r="C1" s="6" t="s">
        <v>53</v>
      </c>
      <c r="D1" s="6" t="s">
        <v>54</v>
      </c>
    </row>
    <row r="2" spans="1:4" x14ac:dyDescent="0.25">
      <c r="A2" s="8">
        <f ca="1">_xll.BDH("NAPMPMI Index","PX_LAST","02/01/2016",TODAY(),"Per=M","cols=2;rows=121")</f>
        <v>42400</v>
      </c>
      <c r="B2">
        <v>47.6</v>
      </c>
    </row>
    <row r="3" spans="1:4" x14ac:dyDescent="0.25">
      <c r="A3" s="8">
        <v>42429</v>
      </c>
      <c r="B3">
        <v>49.2</v>
      </c>
    </row>
    <row r="4" spans="1:4" x14ac:dyDescent="0.25">
      <c r="A4" s="8">
        <v>42460</v>
      </c>
      <c r="B4">
        <v>51</v>
      </c>
    </row>
    <row r="5" spans="1:4" x14ac:dyDescent="0.25">
      <c r="A5" s="8">
        <v>42490</v>
      </c>
      <c r="B5">
        <v>51.3</v>
      </c>
    </row>
    <row r="6" spans="1:4" x14ac:dyDescent="0.25">
      <c r="A6" s="8">
        <v>42521</v>
      </c>
      <c r="B6">
        <v>51.4</v>
      </c>
    </row>
    <row r="7" spans="1:4" x14ac:dyDescent="0.25">
      <c r="A7" s="8">
        <v>42551</v>
      </c>
      <c r="B7">
        <v>52.2</v>
      </c>
    </row>
    <row r="8" spans="1:4" x14ac:dyDescent="0.25">
      <c r="A8" s="8">
        <v>42582</v>
      </c>
      <c r="B8">
        <v>52.7</v>
      </c>
    </row>
    <row r="9" spans="1:4" x14ac:dyDescent="0.25">
      <c r="A9" s="8">
        <v>42613</v>
      </c>
      <c r="B9">
        <v>49.8</v>
      </c>
    </row>
    <row r="10" spans="1:4" x14ac:dyDescent="0.25">
      <c r="A10" s="8">
        <v>42643</v>
      </c>
      <c r="B10">
        <v>51.1</v>
      </c>
    </row>
    <row r="11" spans="1:4" x14ac:dyDescent="0.25">
      <c r="A11" s="8">
        <v>42674</v>
      </c>
      <c r="B11">
        <v>51.8</v>
      </c>
    </row>
    <row r="12" spans="1:4" x14ac:dyDescent="0.25">
      <c r="A12" s="8">
        <v>42704</v>
      </c>
      <c r="B12">
        <v>53.2</v>
      </c>
    </row>
    <row r="13" spans="1:4" x14ac:dyDescent="0.25">
      <c r="A13" s="8">
        <v>42735</v>
      </c>
      <c r="B13">
        <v>54.4</v>
      </c>
    </row>
    <row r="14" spans="1:4" x14ac:dyDescent="0.25">
      <c r="A14" s="8">
        <v>42766</v>
      </c>
      <c r="B14">
        <v>55.7</v>
      </c>
    </row>
    <row r="15" spans="1:4" x14ac:dyDescent="0.25">
      <c r="A15" s="8">
        <v>42794</v>
      </c>
      <c r="B15">
        <v>57.7</v>
      </c>
      <c r="C15" s="9"/>
    </row>
    <row r="16" spans="1:4" x14ac:dyDescent="0.25">
      <c r="A16" s="8">
        <v>42825</v>
      </c>
      <c r="B16">
        <v>56.5</v>
      </c>
    </row>
    <row r="17" spans="1:2" x14ac:dyDescent="0.25">
      <c r="A17" s="8">
        <v>42855</v>
      </c>
      <c r="B17">
        <v>55.8</v>
      </c>
    </row>
    <row r="18" spans="1:2" x14ac:dyDescent="0.25">
      <c r="A18" s="8">
        <v>42886</v>
      </c>
      <c r="B18">
        <v>56.4</v>
      </c>
    </row>
    <row r="19" spans="1:2" x14ac:dyDescent="0.25">
      <c r="A19" s="8">
        <v>42916</v>
      </c>
      <c r="B19">
        <v>56.2</v>
      </c>
    </row>
    <row r="20" spans="1:2" x14ac:dyDescent="0.25">
      <c r="A20" s="8">
        <v>42947</v>
      </c>
      <c r="B20">
        <v>56.5</v>
      </c>
    </row>
    <row r="21" spans="1:2" x14ac:dyDescent="0.25">
      <c r="A21" s="8">
        <v>42978</v>
      </c>
      <c r="B21">
        <v>58.4</v>
      </c>
    </row>
    <row r="22" spans="1:2" x14ac:dyDescent="0.25">
      <c r="A22" s="8">
        <v>43008</v>
      </c>
      <c r="B22">
        <v>60</v>
      </c>
    </row>
    <row r="23" spans="1:2" x14ac:dyDescent="0.25">
      <c r="A23" s="8">
        <v>43039</v>
      </c>
      <c r="B23">
        <v>58.6</v>
      </c>
    </row>
    <row r="24" spans="1:2" x14ac:dyDescent="0.25">
      <c r="A24" s="8">
        <v>43069</v>
      </c>
      <c r="B24">
        <v>57.6</v>
      </c>
    </row>
    <row r="25" spans="1:2" x14ac:dyDescent="0.25">
      <c r="A25" s="8">
        <v>43100</v>
      </c>
      <c r="B25">
        <v>59.7</v>
      </c>
    </row>
    <row r="26" spans="1:2" x14ac:dyDescent="0.25">
      <c r="A26" s="8">
        <v>43131</v>
      </c>
      <c r="B26">
        <v>59.4</v>
      </c>
    </row>
    <row r="27" spans="1:2" x14ac:dyDescent="0.25">
      <c r="A27" s="8">
        <v>43159</v>
      </c>
      <c r="B27">
        <v>60.9</v>
      </c>
    </row>
    <row r="28" spans="1:2" x14ac:dyDescent="0.25">
      <c r="A28" s="8">
        <v>43190</v>
      </c>
      <c r="B28">
        <v>58.8</v>
      </c>
    </row>
    <row r="29" spans="1:2" x14ac:dyDescent="0.25">
      <c r="A29" s="8">
        <v>43220</v>
      </c>
      <c r="B29">
        <v>58.6</v>
      </c>
    </row>
    <row r="30" spans="1:2" x14ac:dyDescent="0.25">
      <c r="A30" s="8">
        <v>43251</v>
      </c>
      <c r="B30">
        <v>59</v>
      </c>
    </row>
    <row r="31" spans="1:2" x14ac:dyDescent="0.25">
      <c r="A31" s="8">
        <v>43281</v>
      </c>
      <c r="B31">
        <v>59.9</v>
      </c>
    </row>
    <row r="32" spans="1:2" x14ac:dyDescent="0.25">
      <c r="A32" s="8">
        <v>43312</v>
      </c>
      <c r="B32">
        <v>58.1</v>
      </c>
    </row>
    <row r="33" spans="1:2" x14ac:dyDescent="0.25">
      <c r="A33" s="8">
        <v>43343</v>
      </c>
      <c r="B33">
        <v>60.5</v>
      </c>
    </row>
    <row r="34" spans="1:2" x14ac:dyDescent="0.25">
      <c r="A34" s="8">
        <v>43373</v>
      </c>
      <c r="B34">
        <v>59.3</v>
      </c>
    </row>
    <row r="35" spans="1:2" x14ac:dyDescent="0.25">
      <c r="A35" s="8">
        <v>43404</v>
      </c>
      <c r="B35">
        <v>58.1</v>
      </c>
    </row>
    <row r="36" spans="1:2" x14ac:dyDescent="0.25">
      <c r="A36" s="8">
        <v>43434</v>
      </c>
      <c r="B36">
        <v>58.6</v>
      </c>
    </row>
    <row r="37" spans="1:2" x14ac:dyDescent="0.25">
      <c r="A37" s="8">
        <v>43465</v>
      </c>
      <c r="B37">
        <v>54.9</v>
      </c>
    </row>
    <row r="38" spans="1:2" x14ac:dyDescent="0.25">
      <c r="A38" s="8">
        <v>43496</v>
      </c>
      <c r="B38">
        <v>55.7</v>
      </c>
    </row>
    <row r="39" spans="1:2" x14ac:dyDescent="0.25">
      <c r="A39" s="8">
        <v>43524</v>
      </c>
      <c r="B39">
        <v>54.4</v>
      </c>
    </row>
    <row r="40" spans="1:2" x14ac:dyDescent="0.25">
      <c r="A40" s="8">
        <v>43555</v>
      </c>
      <c r="B40">
        <v>54.9</v>
      </c>
    </row>
    <row r="41" spans="1:2" x14ac:dyDescent="0.25">
      <c r="A41" s="8">
        <v>43585</v>
      </c>
      <c r="B41">
        <v>53.6</v>
      </c>
    </row>
    <row r="42" spans="1:2" x14ac:dyDescent="0.25">
      <c r="A42" s="8">
        <v>43616</v>
      </c>
      <c r="B42">
        <v>52.6</v>
      </c>
    </row>
    <row r="43" spans="1:2" x14ac:dyDescent="0.25">
      <c r="A43" s="8">
        <v>43646</v>
      </c>
      <c r="B43">
        <v>51.5</v>
      </c>
    </row>
    <row r="44" spans="1:2" x14ac:dyDescent="0.25">
      <c r="A44" s="8">
        <v>43677</v>
      </c>
      <c r="B44">
        <v>51</v>
      </c>
    </row>
    <row r="45" spans="1:2" x14ac:dyDescent="0.25">
      <c r="A45" s="8">
        <v>43708</v>
      </c>
      <c r="B45">
        <v>48.5</v>
      </c>
    </row>
    <row r="46" spans="1:2" x14ac:dyDescent="0.25">
      <c r="A46" s="8">
        <v>43738</v>
      </c>
      <c r="B46">
        <v>48.1</v>
      </c>
    </row>
    <row r="47" spans="1:2" x14ac:dyDescent="0.25">
      <c r="A47" s="8">
        <v>43769</v>
      </c>
      <c r="B47">
        <v>48.1</v>
      </c>
    </row>
    <row r="48" spans="1:2" x14ac:dyDescent="0.25">
      <c r="A48" s="8">
        <v>43799</v>
      </c>
      <c r="B48">
        <v>48.1</v>
      </c>
    </row>
    <row r="49" spans="1:2" x14ac:dyDescent="0.25">
      <c r="A49" s="8">
        <v>43830</v>
      </c>
      <c r="B49">
        <v>47.9</v>
      </c>
    </row>
    <row r="50" spans="1:2" x14ac:dyDescent="0.25">
      <c r="A50" s="8">
        <v>43861</v>
      </c>
      <c r="B50">
        <v>51.4</v>
      </c>
    </row>
    <row r="51" spans="1:2" x14ac:dyDescent="0.25">
      <c r="A51" s="8">
        <v>43890</v>
      </c>
      <c r="B51">
        <v>50.1</v>
      </c>
    </row>
    <row r="52" spans="1:2" x14ac:dyDescent="0.25">
      <c r="A52" s="8">
        <v>43921</v>
      </c>
      <c r="B52">
        <v>49</v>
      </c>
    </row>
    <row r="53" spans="1:2" x14ac:dyDescent="0.25">
      <c r="A53" s="8">
        <v>43951</v>
      </c>
      <c r="B53">
        <v>41.8</v>
      </c>
    </row>
    <row r="54" spans="1:2" x14ac:dyDescent="0.25">
      <c r="A54" s="8">
        <v>43982</v>
      </c>
      <c r="B54">
        <v>43.5</v>
      </c>
    </row>
    <row r="55" spans="1:2" x14ac:dyDescent="0.25">
      <c r="A55" s="8">
        <v>44012</v>
      </c>
      <c r="B55">
        <v>52.6</v>
      </c>
    </row>
    <row r="56" spans="1:2" x14ac:dyDescent="0.25">
      <c r="A56" s="8">
        <v>44043</v>
      </c>
      <c r="B56">
        <v>53.8</v>
      </c>
    </row>
    <row r="57" spans="1:2" x14ac:dyDescent="0.25">
      <c r="A57" s="8">
        <v>44074</v>
      </c>
      <c r="B57">
        <v>55.4</v>
      </c>
    </row>
    <row r="58" spans="1:2" x14ac:dyDescent="0.25">
      <c r="A58" s="8">
        <v>44104</v>
      </c>
      <c r="B58">
        <v>55.5</v>
      </c>
    </row>
    <row r="59" spans="1:2" x14ac:dyDescent="0.25">
      <c r="A59" s="8">
        <v>44135</v>
      </c>
      <c r="B59">
        <v>58.7</v>
      </c>
    </row>
    <row r="60" spans="1:2" x14ac:dyDescent="0.25">
      <c r="A60" s="8">
        <v>44165</v>
      </c>
      <c r="B60">
        <v>57.3</v>
      </c>
    </row>
    <row r="61" spans="1:2" x14ac:dyDescent="0.25">
      <c r="A61" s="8">
        <v>44196</v>
      </c>
      <c r="B61">
        <v>60.2</v>
      </c>
    </row>
    <row r="62" spans="1:2" x14ac:dyDescent="0.25">
      <c r="A62" s="8">
        <v>44227</v>
      </c>
      <c r="B62">
        <v>59.2</v>
      </c>
    </row>
    <row r="63" spans="1:2" x14ac:dyDescent="0.25">
      <c r="A63" s="8">
        <v>44255</v>
      </c>
      <c r="B63">
        <v>60.4</v>
      </c>
    </row>
    <row r="64" spans="1:2" x14ac:dyDescent="0.25">
      <c r="A64" s="8">
        <v>44286</v>
      </c>
      <c r="B64">
        <v>63.8</v>
      </c>
    </row>
    <row r="65" spans="1:2" x14ac:dyDescent="0.25">
      <c r="A65" s="8">
        <v>44316</v>
      </c>
      <c r="B65">
        <v>60.8</v>
      </c>
    </row>
    <row r="66" spans="1:2" x14ac:dyDescent="0.25">
      <c r="A66" s="8">
        <v>44347</v>
      </c>
      <c r="B66">
        <v>61.6</v>
      </c>
    </row>
    <row r="67" spans="1:2" x14ac:dyDescent="0.25">
      <c r="A67" s="8">
        <v>44377</v>
      </c>
      <c r="B67">
        <v>61.3</v>
      </c>
    </row>
    <row r="68" spans="1:2" x14ac:dyDescent="0.25">
      <c r="A68" s="8">
        <v>44408</v>
      </c>
      <c r="B68">
        <v>60.2</v>
      </c>
    </row>
    <row r="69" spans="1:2" x14ac:dyDescent="0.25">
      <c r="A69" s="8">
        <v>44439</v>
      </c>
      <c r="B69">
        <v>59.8</v>
      </c>
    </row>
    <row r="70" spans="1:2" x14ac:dyDescent="0.25">
      <c r="A70" s="8">
        <v>44469</v>
      </c>
      <c r="B70">
        <v>60.8</v>
      </c>
    </row>
    <row r="71" spans="1:2" x14ac:dyDescent="0.25">
      <c r="A71" s="8">
        <v>44500</v>
      </c>
      <c r="B71">
        <v>60.7</v>
      </c>
    </row>
    <row r="72" spans="1:2" x14ac:dyDescent="0.25">
      <c r="A72" s="8">
        <v>44530</v>
      </c>
      <c r="B72">
        <v>60.8</v>
      </c>
    </row>
    <row r="73" spans="1:2" x14ac:dyDescent="0.25">
      <c r="A73" s="8">
        <v>44561</v>
      </c>
      <c r="B73">
        <v>58.3</v>
      </c>
    </row>
    <row r="74" spans="1:2" x14ac:dyDescent="0.25">
      <c r="A74" s="8">
        <v>44592</v>
      </c>
      <c r="B74">
        <v>57.4</v>
      </c>
    </row>
    <row r="75" spans="1:2" x14ac:dyDescent="0.25">
      <c r="A75" s="8">
        <v>44620</v>
      </c>
      <c r="B75">
        <v>58.1</v>
      </c>
    </row>
    <row r="76" spans="1:2" x14ac:dyDescent="0.25">
      <c r="A76" s="8">
        <v>44651</v>
      </c>
      <c r="B76">
        <v>57.2</v>
      </c>
    </row>
    <row r="77" spans="1:2" x14ac:dyDescent="0.25">
      <c r="A77" s="8">
        <v>44681</v>
      </c>
      <c r="B77">
        <v>55.3</v>
      </c>
    </row>
    <row r="78" spans="1:2" x14ac:dyDescent="0.25">
      <c r="A78" s="8">
        <v>44712</v>
      </c>
      <c r="B78">
        <v>55.9</v>
      </c>
    </row>
    <row r="79" spans="1:2" x14ac:dyDescent="0.25">
      <c r="A79" s="8">
        <v>44742</v>
      </c>
      <c r="B79">
        <v>53.5</v>
      </c>
    </row>
    <row r="80" spans="1:2" x14ac:dyDescent="0.25">
      <c r="A80" s="8">
        <v>44773</v>
      </c>
      <c r="B80">
        <v>52.9</v>
      </c>
    </row>
    <row r="81" spans="1:2" x14ac:dyDescent="0.25">
      <c r="A81" s="8">
        <v>44804</v>
      </c>
      <c r="B81">
        <v>53</v>
      </c>
    </row>
    <row r="82" spans="1:2" x14ac:dyDescent="0.25">
      <c r="A82" s="8">
        <v>44834</v>
      </c>
      <c r="B82">
        <v>51.1</v>
      </c>
    </row>
    <row r="83" spans="1:2" x14ac:dyDescent="0.25">
      <c r="A83" s="8">
        <v>44865</v>
      </c>
      <c r="B83">
        <v>50.3</v>
      </c>
    </row>
    <row r="84" spans="1:2" x14ac:dyDescent="0.25">
      <c r="A84" s="8">
        <v>44895</v>
      </c>
      <c r="B84">
        <v>49</v>
      </c>
    </row>
    <row r="85" spans="1:2" x14ac:dyDescent="0.25">
      <c r="A85" s="8">
        <v>44926</v>
      </c>
      <c r="B85">
        <v>48</v>
      </c>
    </row>
    <row r="86" spans="1:2" x14ac:dyDescent="0.25">
      <c r="A86" s="8">
        <v>44957</v>
      </c>
      <c r="B86">
        <v>47.1</v>
      </c>
    </row>
    <row r="87" spans="1:2" x14ac:dyDescent="0.25">
      <c r="A87" s="8">
        <v>44985</v>
      </c>
      <c r="B87">
        <v>47.3</v>
      </c>
    </row>
    <row r="88" spans="1:2" x14ac:dyDescent="0.25">
      <c r="A88" s="8">
        <v>45016</v>
      </c>
      <c r="B88">
        <v>46.3</v>
      </c>
    </row>
    <row r="89" spans="1:2" x14ac:dyDescent="0.25">
      <c r="A89" s="8">
        <v>45046</v>
      </c>
      <c r="B89">
        <v>46.7</v>
      </c>
    </row>
    <row r="90" spans="1:2" x14ac:dyDescent="0.25">
      <c r="A90" s="8">
        <v>45077</v>
      </c>
      <c r="B90">
        <v>46.4</v>
      </c>
    </row>
    <row r="91" spans="1:2" x14ac:dyDescent="0.25">
      <c r="A91" s="8">
        <v>45107</v>
      </c>
      <c r="B91">
        <v>46.3</v>
      </c>
    </row>
    <row r="92" spans="1:2" x14ac:dyDescent="0.25">
      <c r="A92" s="8">
        <v>45138</v>
      </c>
      <c r="B92">
        <v>47</v>
      </c>
    </row>
    <row r="93" spans="1:2" x14ac:dyDescent="0.25">
      <c r="A93" s="8">
        <v>45169</v>
      </c>
      <c r="B93">
        <v>48</v>
      </c>
    </row>
    <row r="94" spans="1:2" x14ac:dyDescent="0.25">
      <c r="A94" s="8">
        <v>45199</v>
      </c>
      <c r="B94">
        <v>48.7</v>
      </c>
    </row>
    <row r="95" spans="1:2" x14ac:dyDescent="0.25">
      <c r="A95" s="8">
        <v>45230</v>
      </c>
      <c r="B95">
        <v>47.4</v>
      </c>
    </row>
    <row r="96" spans="1:2" x14ac:dyDescent="0.25">
      <c r="A96" s="8">
        <v>45260</v>
      </c>
      <c r="B96">
        <v>46.8</v>
      </c>
    </row>
    <row r="97" spans="1:2" x14ac:dyDescent="0.25">
      <c r="A97" s="8">
        <v>45291</v>
      </c>
      <c r="B97">
        <v>46.9</v>
      </c>
    </row>
    <row r="98" spans="1:2" x14ac:dyDescent="0.25">
      <c r="A98" s="8">
        <v>45322</v>
      </c>
      <c r="B98">
        <v>48.6</v>
      </c>
    </row>
    <row r="99" spans="1:2" x14ac:dyDescent="0.25">
      <c r="A99" s="8">
        <v>45351</v>
      </c>
      <c r="B99">
        <v>47.4</v>
      </c>
    </row>
    <row r="100" spans="1:2" x14ac:dyDescent="0.25">
      <c r="A100" s="8">
        <v>45382</v>
      </c>
      <c r="B100">
        <v>49.8</v>
      </c>
    </row>
    <row r="101" spans="1:2" x14ac:dyDescent="0.25">
      <c r="A101" s="8">
        <v>45412</v>
      </c>
      <c r="B101">
        <v>48.9</v>
      </c>
    </row>
    <row r="102" spans="1:2" x14ac:dyDescent="0.25">
      <c r="A102" s="8">
        <v>45443</v>
      </c>
      <c r="B102">
        <v>48.6</v>
      </c>
    </row>
    <row r="103" spans="1:2" x14ac:dyDescent="0.25">
      <c r="A103" s="8">
        <v>45473</v>
      </c>
      <c r="B103">
        <v>48.3</v>
      </c>
    </row>
    <row r="104" spans="1:2" x14ac:dyDescent="0.25">
      <c r="A104" s="8">
        <v>45504</v>
      </c>
      <c r="B104">
        <v>47.4</v>
      </c>
    </row>
    <row r="105" spans="1:2" x14ac:dyDescent="0.25">
      <c r="A105" s="8">
        <v>45535</v>
      </c>
      <c r="B105">
        <v>47.7</v>
      </c>
    </row>
    <row r="106" spans="1:2" x14ac:dyDescent="0.25">
      <c r="A106" s="8">
        <v>45565</v>
      </c>
      <c r="B106">
        <v>47.3</v>
      </c>
    </row>
    <row r="107" spans="1:2" x14ac:dyDescent="0.25">
      <c r="A107" s="8">
        <v>45596</v>
      </c>
      <c r="B107">
        <v>47</v>
      </c>
    </row>
    <row r="108" spans="1:2" x14ac:dyDescent="0.25">
      <c r="A108" s="8">
        <v>45626</v>
      </c>
      <c r="B108">
        <v>48.4</v>
      </c>
    </row>
    <row r="109" spans="1:2" x14ac:dyDescent="0.25">
      <c r="A109" s="8">
        <v>45657</v>
      </c>
      <c r="B109">
        <v>49.2</v>
      </c>
    </row>
    <row r="110" spans="1:2" x14ac:dyDescent="0.25">
      <c r="A110" s="8">
        <v>45688</v>
      </c>
      <c r="B110">
        <v>50.5</v>
      </c>
    </row>
    <row r="111" spans="1:2" x14ac:dyDescent="0.25">
      <c r="A111" s="8">
        <v>45716</v>
      </c>
      <c r="B111">
        <v>50</v>
      </c>
    </row>
    <row r="112" spans="1:2" x14ac:dyDescent="0.25">
      <c r="A112" s="8">
        <v>45747</v>
      </c>
      <c r="B112">
        <v>48.9</v>
      </c>
    </row>
    <row r="113" spans="1:2" x14ac:dyDescent="0.25">
      <c r="A113" s="8">
        <v>45777</v>
      </c>
      <c r="B113">
        <v>48.8</v>
      </c>
    </row>
    <row r="114" spans="1:2" x14ac:dyDescent="0.25">
      <c r="A114" s="8">
        <v>45808</v>
      </c>
      <c r="B114">
        <v>48.6</v>
      </c>
    </row>
    <row r="115" spans="1:2" x14ac:dyDescent="0.25">
      <c r="A115" s="8">
        <v>45838</v>
      </c>
      <c r="B115">
        <v>49</v>
      </c>
    </row>
    <row r="116" spans="1:2" x14ac:dyDescent="0.25">
      <c r="A116" s="8">
        <v>45869</v>
      </c>
      <c r="B116">
        <v>48.4</v>
      </c>
    </row>
    <row r="117" spans="1:2" x14ac:dyDescent="0.25">
      <c r="A117" s="8">
        <v>45900</v>
      </c>
      <c r="B117">
        <v>48.9</v>
      </c>
    </row>
    <row r="118" spans="1:2" x14ac:dyDescent="0.25">
      <c r="A118" s="8">
        <v>45930</v>
      </c>
      <c r="B118">
        <v>48.9</v>
      </c>
    </row>
    <row r="119" spans="1:2" x14ac:dyDescent="0.25">
      <c r="A119" s="8">
        <v>45961</v>
      </c>
      <c r="B119">
        <v>48.8</v>
      </c>
    </row>
    <row r="120" spans="1:2" x14ac:dyDescent="0.25">
      <c r="A120" s="8">
        <v>45991</v>
      </c>
      <c r="B120">
        <v>48</v>
      </c>
    </row>
    <row r="121" spans="1:2" x14ac:dyDescent="0.25">
      <c r="A121" s="8">
        <v>46022</v>
      </c>
      <c r="B121">
        <v>47.9</v>
      </c>
    </row>
    <row r="122" spans="1:2" x14ac:dyDescent="0.25">
      <c r="A122" s="8">
        <v>46053</v>
      </c>
      <c r="B122">
        <v>52.6</v>
      </c>
    </row>
    <row r="136" spans="1:4" x14ac:dyDescent="0.25">
      <c r="A136" s="6" t="s">
        <v>55</v>
      </c>
      <c r="B136" s="6" t="s">
        <v>56</v>
      </c>
      <c r="C136" s="6" t="s">
        <v>57</v>
      </c>
      <c r="D136" s="6" t="s">
        <v>54</v>
      </c>
    </row>
    <row r="137" spans="1:4" x14ac:dyDescent="0.25">
      <c r="A137" s="8">
        <f ca="1">_xll.BDH("NAPMNMI Index","PX_LAST","02/01/2016",TODAY(),"Per=M","cols=2;rows=121")</f>
        <v>42400</v>
      </c>
      <c r="B137">
        <v>53.8</v>
      </c>
    </row>
    <row r="138" spans="1:4" x14ac:dyDescent="0.25">
      <c r="A138" s="8">
        <v>42429</v>
      </c>
      <c r="B138">
        <v>52.8</v>
      </c>
    </row>
    <row r="139" spans="1:4" x14ac:dyDescent="0.25">
      <c r="A139" s="8">
        <v>42460</v>
      </c>
      <c r="B139">
        <v>55.4</v>
      </c>
    </row>
    <row r="140" spans="1:4" x14ac:dyDescent="0.25">
      <c r="A140" s="8">
        <v>42490</v>
      </c>
      <c r="B140">
        <v>55.2</v>
      </c>
    </row>
    <row r="141" spans="1:4" x14ac:dyDescent="0.25">
      <c r="A141" s="8">
        <v>42521</v>
      </c>
      <c r="B141">
        <v>54.1</v>
      </c>
    </row>
    <row r="142" spans="1:4" x14ac:dyDescent="0.25">
      <c r="A142" s="8">
        <v>42551</v>
      </c>
      <c r="B142">
        <v>55.8</v>
      </c>
    </row>
    <row r="143" spans="1:4" x14ac:dyDescent="0.25">
      <c r="A143" s="8">
        <v>42582</v>
      </c>
      <c r="B143">
        <v>56.2</v>
      </c>
    </row>
    <row r="144" spans="1:4" x14ac:dyDescent="0.25">
      <c r="A144" s="8">
        <v>42613</v>
      </c>
      <c r="B144">
        <v>52.6</v>
      </c>
    </row>
    <row r="145" spans="1:2" x14ac:dyDescent="0.25">
      <c r="A145" s="8">
        <v>42643</v>
      </c>
      <c r="B145">
        <v>55.4</v>
      </c>
    </row>
    <row r="146" spans="1:2" x14ac:dyDescent="0.25">
      <c r="A146" s="8">
        <v>42674</v>
      </c>
      <c r="B146">
        <v>54.3</v>
      </c>
    </row>
    <row r="147" spans="1:2" x14ac:dyDescent="0.25">
      <c r="A147" s="8">
        <v>42704</v>
      </c>
      <c r="B147">
        <v>56.4</v>
      </c>
    </row>
    <row r="148" spans="1:2" x14ac:dyDescent="0.25">
      <c r="A148" s="8">
        <v>42735</v>
      </c>
      <c r="B148">
        <v>55.8</v>
      </c>
    </row>
    <row r="149" spans="1:2" x14ac:dyDescent="0.25">
      <c r="A149" s="8">
        <v>42766</v>
      </c>
      <c r="B149">
        <v>57</v>
      </c>
    </row>
    <row r="150" spans="1:2" x14ac:dyDescent="0.25">
      <c r="A150" s="8">
        <v>42794</v>
      </c>
      <c r="B150">
        <v>56.6</v>
      </c>
    </row>
    <row r="151" spans="1:2" x14ac:dyDescent="0.25">
      <c r="A151" s="8">
        <v>42825</v>
      </c>
      <c r="B151">
        <v>56.2</v>
      </c>
    </row>
    <row r="152" spans="1:2" x14ac:dyDescent="0.25">
      <c r="A152" s="8">
        <v>42855</v>
      </c>
      <c r="B152">
        <v>57.2</v>
      </c>
    </row>
    <row r="153" spans="1:2" x14ac:dyDescent="0.25">
      <c r="A153" s="8">
        <v>42886</v>
      </c>
      <c r="B153">
        <v>57.4</v>
      </c>
    </row>
    <row r="154" spans="1:2" x14ac:dyDescent="0.25">
      <c r="A154" s="8">
        <v>42916</v>
      </c>
      <c r="B154">
        <v>56.8</v>
      </c>
    </row>
    <row r="155" spans="1:2" x14ac:dyDescent="0.25">
      <c r="A155" s="8">
        <v>42947</v>
      </c>
      <c r="B155">
        <v>55.4</v>
      </c>
    </row>
    <row r="156" spans="1:2" x14ac:dyDescent="0.25">
      <c r="A156" s="8">
        <v>42978</v>
      </c>
      <c r="B156">
        <v>55.8</v>
      </c>
    </row>
    <row r="157" spans="1:2" x14ac:dyDescent="0.25">
      <c r="A157" s="8">
        <v>43008</v>
      </c>
      <c r="B157">
        <v>58.1</v>
      </c>
    </row>
    <row r="158" spans="1:2" x14ac:dyDescent="0.25">
      <c r="A158" s="8">
        <v>43039</v>
      </c>
      <c r="B158">
        <v>60.4</v>
      </c>
    </row>
    <row r="159" spans="1:2" x14ac:dyDescent="0.25">
      <c r="A159" s="8">
        <v>43069</v>
      </c>
      <c r="B159">
        <v>57.1</v>
      </c>
    </row>
    <row r="160" spans="1:2" x14ac:dyDescent="0.25">
      <c r="A160" s="8">
        <v>43100</v>
      </c>
      <c r="B160">
        <v>56.3</v>
      </c>
    </row>
    <row r="161" spans="1:2" x14ac:dyDescent="0.25">
      <c r="A161" s="8">
        <v>43131</v>
      </c>
      <c r="B161">
        <v>60</v>
      </c>
    </row>
    <row r="162" spans="1:2" x14ac:dyDescent="0.25">
      <c r="A162" s="8">
        <v>43159</v>
      </c>
      <c r="B162">
        <v>58.5</v>
      </c>
    </row>
    <row r="163" spans="1:2" x14ac:dyDescent="0.25">
      <c r="A163" s="8">
        <v>43190</v>
      </c>
      <c r="B163">
        <v>58.2</v>
      </c>
    </row>
    <row r="164" spans="1:2" x14ac:dyDescent="0.25">
      <c r="A164" s="8">
        <v>43220</v>
      </c>
      <c r="B164">
        <v>57.6</v>
      </c>
    </row>
    <row r="165" spans="1:2" x14ac:dyDescent="0.25">
      <c r="A165" s="8">
        <v>43251</v>
      </c>
      <c r="B165">
        <v>58</v>
      </c>
    </row>
    <row r="166" spans="1:2" x14ac:dyDescent="0.25">
      <c r="A166" s="8">
        <v>43281</v>
      </c>
      <c r="B166">
        <v>58.5</v>
      </c>
    </row>
    <row r="167" spans="1:2" x14ac:dyDescent="0.25">
      <c r="A167" s="8">
        <v>43312</v>
      </c>
      <c r="B167">
        <v>57.5</v>
      </c>
    </row>
    <row r="168" spans="1:2" x14ac:dyDescent="0.25">
      <c r="A168" s="8">
        <v>43343</v>
      </c>
      <c r="B168">
        <v>59.5</v>
      </c>
    </row>
    <row r="169" spans="1:2" x14ac:dyDescent="0.25">
      <c r="A169" s="8">
        <v>43373</v>
      </c>
      <c r="B169">
        <v>60.4</v>
      </c>
    </row>
    <row r="170" spans="1:2" x14ac:dyDescent="0.25">
      <c r="A170" s="8">
        <v>43404</v>
      </c>
      <c r="B170">
        <v>60.8</v>
      </c>
    </row>
    <row r="171" spans="1:2" x14ac:dyDescent="0.25">
      <c r="A171" s="8">
        <v>43434</v>
      </c>
      <c r="B171">
        <v>60.1</v>
      </c>
    </row>
    <row r="172" spans="1:2" x14ac:dyDescent="0.25">
      <c r="A172" s="8">
        <v>43465</v>
      </c>
      <c r="B172">
        <v>58.1</v>
      </c>
    </row>
    <row r="173" spans="1:2" x14ac:dyDescent="0.25">
      <c r="A173" s="8">
        <v>43496</v>
      </c>
      <c r="B173">
        <v>56.5</v>
      </c>
    </row>
    <row r="174" spans="1:2" x14ac:dyDescent="0.25">
      <c r="A174" s="8">
        <v>43524</v>
      </c>
      <c r="B174">
        <v>59.1</v>
      </c>
    </row>
    <row r="175" spans="1:2" x14ac:dyDescent="0.25">
      <c r="A175" s="8">
        <v>43555</v>
      </c>
      <c r="B175">
        <v>56.5</v>
      </c>
    </row>
    <row r="176" spans="1:2" x14ac:dyDescent="0.25">
      <c r="A176" s="8">
        <v>43585</v>
      </c>
      <c r="B176">
        <v>55.3</v>
      </c>
    </row>
    <row r="177" spans="1:2" x14ac:dyDescent="0.25">
      <c r="A177" s="8">
        <v>43616</v>
      </c>
      <c r="B177">
        <v>56.1</v>
      </c>
    </row>
    <row r="178" spans="1:2" x14ac:dyDescent="0.25">
      <c r="A178" s="8">
        <v>43646</v>
      </c>
      <c r="B178">
        <v>55.2</v>
      </c>
    </row>
    <row r="179" spans="1:2" x14ac:dyDescent="0.25">
      <c r="A179" s="8">
        <v>43677</v>
      </c>
      <c r="B179">
        <v>54.4</v>
      </c>
    </row>
    <row r="180" spans="1:2" x14ac:dyDescent="0.25">
      <c r="A180" s="8">
        <v>43708</v>
      </c>
      <c r="B180">
        <v>56</v>
      </c>
    </row>
    <row r="181" spans="1:2" x14ac:dyDescent="0.25">
      <c r="A181" s="8">
        <v>43738</v>
      </c>
      <c r="B181">
        <v>53.2</v>
      </c>
    </row>
    <row r="182" spans="1:2" x14ac:dyDescent="0.25">
      <c r="A182" s="8">
        <v>43769</v>
      </c>
      <c r="B182">
        <v>54.8</v>
      </c>
    </row>
    <row r="183" spans="1:2" x14ac:dyDescent="0.25">
      <c r="A183" s="8">
        <v>43799</v>
      </c>
      <c r="B183">
        <v>53.6</v>
      </c>
    </row>
    <row r="184" spans="1:2" x14ac:dyDescent="0.25">
      <c r="A184" s="8">
        <v>43830</v>
      </c>
      <c r="B184">
        <v>55.7</v>
      </c>
    </row>
    <row r="185" spans="1:2" x14ac:dyDescent="0.25">
      <c r="A185" s="8">
        <v>43861</v>
      </c>
      <c r="B185">
        <v>56</v>
      </c>
    </row>
    <row r="186" spans="1:2" x14ac:dyDescent="0.25">
      <c r="A186" s="8">
        <v>43890</v>
      </c>
      <c r="B186">
        <v>57.5</v>
      </c>
    </row>
    <row r="187" spans="1:2" x14ac:dyDescent="0.25">
      <c r="A187" s="8">
        <v>43921</v>
      </c>
      <c r="B187">
        <v>52.9</v>
      </c>
    </row>
    <row r="188" spans="1:2" x14ac:dyDescent="0.25">
      <c r="A188" s="8">
        <v>43951</v>
      </c>
      <c r="B188">
        <v>41.7</v>
      </c>
    </row>
    <row r="189" spans="1:2" x14ac:dyDescent="0.25">
      <c r="A189" s="8">
        <v>43982</v>
      </c>
      <c r="B189">
        <v>45.4</v>
      </c>
    </row>
    <row r="190" spans="1:2" x14ac:dyDescent="0.25">
      <c r="A190" s="8">
        <v>44012</v>
      </c>
      <c r="B190">
        <v>57.3</v>
      </c>
    </row>
    <row r="191" spans="1:2" x14ac:dyDescent="0.25">
      <c r="A191" s="8">
        <v>44043</v>
      </c>
      <c r="B191">
        <v>56.7</v>
      </c>
    </row>
    <row r="192" spans="1:2" x14ac:dyDescent="0.25">
      <c r="A192" s="8">
        <v>44074</v>
      </c>
      <c r="B192">
        <v>57.1</v>
      </c>
    </row>
    <row r="193" spans="1:2" x14ac:dyDescent="0.25">
      <c r="A193" s="8">
        <v>44104</v>
      </c>
      <c r="B193">
        <v>57.1</v>
      </c>
    </row>
    <row r="194" spans="1:2" x14ac:dyDescent="0.25">
      <c r="A194" s="8">
        <v>44135</v>
      </c>
      <c r="B194">
        <v>56.1</v>
      </c>
    </row>
    <row r="195" spans="1:2" x14ac:dyDescent="0.25">
      <c r="A195" s="8">
        <v>44165</v>
      </c>
      <c r="B195">
        <v>56.1</v>
      </c>
    </row>
    <row r="196" spans="1:2" x14ac:dyDescent="0.25">
      <c r="A196" s="8">
        <v>44196</v>
      </c>
      <c r="B196">
        <v>57.5</v>
      </c>
    </row>
    <row r="197" spans="1:2" x14ac:dyDescent="0.25">
      <c r="A197" s="8">
        <v>44227</v>
      </c>
      <c r="B197">
        <v>58.4</v>
      </c>
    </row>
    <row r="198" spans="1:2" x14ac:dyDescent="0.25">
      <c r="A198" s="8">
        <v>44255</v>
      </c>
      <c r="B198">
        <v>56.5</v>
      </c>
    </row>
    <row r="199" spans="1:2" x14ac:dyDescent="0.25">
      <c r="A199" s="8">
        <v>44286</v>
      </c>
      <c r="B199">
        <v>62</v>
      </c>
    </row>
    <row r="200" spans="1:2" x14ac:dyDescent="0.25">
      <c r="A200" s="8">
        <v>44316</v>
      </c>
      <c r="B200">
        <v>63.3</v>
      </c>
    </row>
    <row r="201" spans="1:2" x14ac:dyDescent="0.25">
      <c r="A201" s="8">
        <v>44347</v>
      </c>
      <c r="B201">
        <v>64.3</v>
      </c>
    </row>
    <row r="202" spans="1:2" x14ac:dyDescent="0.25">
      <c r="A202" s="8">
        <v>44377</v>
      </c>
      <c r="B202">
        <v>61.4</v>
      </c>
    </row>
    <row r="203" spans="1:2" x14ac:dyDescent="0.25">
      <c r="A203" s="8">
        <v>44408</v>
      </c>
      <c r="B203">
        <v>63.8</v>
      </c>
    </row>
    <row r="204" spans="1:2" x14ac:dyDescent="0.25">
      <c r="A204" s="8">
        <v>44439</v>
      </c>
      <c r="B204">
        <v>61.5</v>
      </c>
    </row>
    <row r="205" spans="1:2" x14ac:dyDescent="0.25">
      <c r="A205" s="8">
        <v>44469</v>
      </c>
      <c r="B205">
        <v>61.6</v>
      </c>
    </row>
    <row r="206" spans="1:2" x14ac:dyDescent="0.25">
      <c r="A206" s="8">
        <v>44500</v>
      </c>
      <c r="B206">
        <v>67.2</v>
      </c>
    </row>
    <row r="207" spans="1:2" x14ac:dyDescent="0.25">
      <c r="A207" s="8">
        <v>44530</v>
      </c>
      <c r="B207">
        <v>67.5</v>
      </c>
    </row>
    <row r="208" spans="1:2" x14ac:dyDescent="0.25">
      <c r="A208" s="8">
        <v>44561</v>
      </c>
      <c r="B208">
        <v>61.4</v>
      </c>
    </row>
    <row r="209" spans="1:2" x14ac:dyDescent="0.25">
      <c r="A209" s="8">
        <v>44592</v>
      </c>
      <c r="B209">
        <v>59.8</v>
      </c>
    </row>
    <row r="210" spans="1:2" x14ac:dyDescent="0.25">
      <c r="A210" s="8">
        <v>44620</v>
      </c>
      <c r="B210">
        <v>57.1</v>
      </c>
    </row>
    <row r="211" spans="1:2" x14ac:dyDescent="0.25">
      <c r="A211" s="8">
        <v>44651</v>
      </c>
      <c r="B211">
        <v>58</v>
      </c>
    </row>
    <row r="212" spans="1:2" x14ac:dyDescent="0.25">
      <c r="A212" s="8">
        <v>44681</v>
      </c>
      <c r="B212">
        <v>58.3</v>
      </c>
    </row>
    <row r="213" spans="1:2" x14ac:dyDescent="0.25">
      <c r="A213" s="8">
        <v>44712</v>
      </c>
      <c r="B213">
        <v>56.9</v>
      </c>
    </row>
    <row r="214" spans="1:2" x14ac:dyDescent="0.25">
      <c r="A214" s="8">
        <v>44742</v>
      </c>
      <c r="B214">
        <v>55.9</v>
      </c>
    </row>
    <row r="215" spans="1:2" x14ac:dyDescent="0.25">
      <c r="A215" s="8">
        <v>44773</v>
      </c>
      <c r="B215">
        <v>56.5</v>
      </c>
    </row>
    <row r="216" spans="1:2" x14ac:dyDescent="0.25">
      <c r="A216" s="8">
        <v>44804</v>
      </c>
      <c r="B216">
        <v>55.9</v>
      </c>
    </row>
    <row r="217" spans="1:2" x14ac:dyDescent="0.25">
      <c r="A217" s="8">
        <v>44834</v>
      </c>
      <c r="B217">
        <v>55.3</v>
      </c>
    </row>
    <row r="218" spans="1:2" x14ac:dyDescent="0.25">
      <c r="A218" s="8">
        <v>44865</v>
      </c>
      <c r="B218">
        <v>54.8</v>
      </c>
    </row>
    <row r="219" spans="1:2" x14ac:dyDescent="0.25">
      <c r="A219" s="8">
        <v>44895</v>
      </c>
      <c r="B219">
        <v>55.5</v>
      </c>
    </row>
    <row r="220" spans="1:2" x14ac:dyDescent="0.25">
      <c r="A220" s="8">
        <v>44926</v>
      </c>
      <c r="B220">
        <v>49</v>
      </c>
    </row>
    <row r="221" spans="1:2" x14ac:dyDescent="0.25">
      <c r="A221" s="8">
        <v>44957</v>
      </c>
      <c r="B221">
        <v>54.5</v>
      </c>
    </row>
    <row r="222" spans="1:2" x14ac:dyDescent="0.25">
      <c r="A222" s="8">
        <v>44985</v>
      </c>
      <c r="B222">
        <v>54.6</v>
      </c>
    </row>
    <row r="223" spans="1:2" x14ac:dyDescent="0.25">
      <c r="A223" s="8">
        <v>45016</v>
      </c>
      <c r="B223">
        <v>50.7</v>
      </c>
    </row>
    <row r="224" spans="1:2" x14ac:dyDescent="0.25">
      <c r="A224" s="8">
        <v>45046</v>
      </c>
      <c r="B224">
        <v>52.8</v>
      </c>
    </row>
    <row r="225" spans="1:2" x14ac:dyDescent="0.25">
      <c r="A225" s="8">
        <v>45077</v>
      </c>
      <c r="B225">
        <v>51.2</v>
      </c>
    </row>
    <row r="226" spans="1:2" x14ac:dyDescent="0.25">
      <c r="A226" s="8">
        <v>45107</v>
      </c>
      <c r="B226">
        <v>54</v>
      </c>
    </row>
    <row r="227" spans="1:2" x14ac:dyDescent="0.25">
      <c r="A227" s="8">
        <v>45138</v>
      </c>
      <c r="B227">
        <v>53</v>
      </c>
    </row>
    <row r="228" spans="1:2" x14ac:dyDescent="0.25">
      <c r="A228" s="8">
        <v>45169</v>
      </c>
      <c r="B228">
        <v>54.1</v>
      </c>
    </row>
    <row r="229" spans="1:2" x14ac:dyDescent="0.25">
      <c r="A229" s="8">
        <v>45199</v>
      </c>
      <c r="B229">
        <v>53.5</v>
      </c>
    </row>
    <row r="230" spans="1:2" x14ac:dyDescent="0.25">
      <c r="A230" s="8">
        <v>45230</v>
      </c>
      <c r="B230">
        <v>51.6</v>
      </c>
    </row>
    <row r="231" spans="1:2" x14ac:dyDescent="0.25">
      <c r="A231" s="8">
        <v>45260</v>
      </c>
      <c r="B231">
        <v>52.5</v>
      </c>
    </row>
    <row r="232" spans="1:2" x14ac:dyDescent="0.25">
      <c r="A232" s="8">
        <v>45291</v>
      </c>
      <c r="B232">
        <v>50.2</v>
      </c>
    </row>
    <row r="233" spans="1:2" x14ac:dyDescent="0.25">
      <c r="A233" s="8">
        <v>45322</v>
      </c>
      <c r="B233">
        <v>53.1</v>
      </c>
    </row>
    <row r="234" spans="1:2" x14ac:dyDescent="0.25">
      <c r="A234" s="8">
        <v>45351</v>
      </c>
      <c r="B234">
        <v>52.1</v>
      </c>
    </row>
    <row r="235" spans="1:2" x14ac:dyDescent="0.25">
      <c r="A235" s="8">
        <v>45382</v>
      </c>
      <c r="B235">
        <v>51.1</v>
      </c>
    </row>
    <row r="236" spans="1:2" x14ac:dyDescent="0.25">
      <c r="A236" s="8">
        <v>45412</v>
      </c>
      <c r="B236">
        <v>49.8</v>
      </c>
    </row>
    <row r="237" spans="1:2" x14ac:dyDescent="0.25">
      <c r="A237" s="8">
        <v>45443</v>
      </c>
      <c r="B237">
        <v>53.7</v>
      </c>
    </row>
    <row r="238" spans="1:2" x14ac:dyDescent="0.25">
      <c r="A238" s="8">
        <v>45473</v>
      </c>
      <c r="B238">
        <v>49.4</v>
      </c>
    </row>
    <row r="239" spans="1:2" x14ac:dyDescent="0.25">
      <c r="A239" s="8">
        <v>45504</v>
      </c>
      <c r="B239">
        <v>51.7</v>
      </c>
    </row>
    <row r="240" spans="1:2" x14ac:dyDescent="0.25">
      <c r="A240" s="8">
        <v>45535</v>
      </c>
      <c r="B240">
        <v>51.8</v>
      </c>
    </row>
    <row r="241" spans="1:2" x14ac:dyDescent="0.25">
      <c r="A241" s="8">
        <v>45565</v>
      </c>
      <c r="B241">
        <v>54.6</v>
      </c>
    </row>
    <row r="242" spans="1:2" x14ac:dyDescent="0.25">
      <c r="A242" s="8">
        <v>45596</v>
      </c>
      <c r="B242">
        <v>55.5</v>
      </c>
    </row>
    <row r="243" spans="1:2" x14ac:dyDescent="0.25">
      <c r="A243" s="8">
        <v>45626</v>
      </c>
      <c r="B243">
        <v>52.4</v>
      </c>
    </row>
    <row r="244" spans="1:2" x14ac:dyDescent="0.25">
      <c r="A244" s="8">
        <v>45657</v>
      </c>
      <c r="B244">
        <v>53.5</v>
      </c>
    </row>
    <row r="245" spans="1:2" x14ac:dyDescent="0.25">
      <c r="A245" s="8">
        <v>45688</v>
      </c>
      <c r="B245">
        <v>52.6</v>
      </c>
    </row>
    <row r="246" spans="1:2" x14ac:dyDescent="0.25">
      <c r="A246" s="8">
        <v>45716</v>
      </c>
      <c r="B246">
        <v>53.2</v>
      </c>
    </row>
    <row r="247" spans="1:2" x14ac:dyDescent="0.25">
      <c r="A247" s="8">
        <v>45747</v>
      </c>
      <c r="B247">
        <v>50.8</v>
      </c>
    </row>
    <row r="248" spans="1:2" x14ac:dyDescent="0.25">
      <c r="A248" s="8">
        <v>45777</v>
      </c>
      <c r="B248">
        <v>51.6</v>
      </c>
    </row>
    <row r="249" spans="1:2" x14ac:dyDescent="0.25">
      <c r="A249" s="8">
        <v>45808</v>
      </c>
      <c r="B249">
        <v>50.2</v>
      </c>
    </row>
    <row r="250" spans="1:2" x14ac:dyDescent="0.25">
      <c r="A250" s="8">
        <v>45838</v>
      </c>
      <c r="B250">
        <v>50.8</v>
      </c>
    </row>
    <row r="251" spans="1:2" x14ac:dyDescent="0.25">
      <c r="A251" s="8">
        <v>45869</v>
      </c>
      <c r="B251">
        <v>50.5</v>
      </c>
    </row>
    <row r="252" spans="1:2" x14ac:dyDescent="0.25">
      <c r="A252" s="8">
        <v>45900</v>
      </c>
      <c r="B252">
        <v>51.9</v>
      </c>
    </row>
    <row r="253" spans="1:2" x14ac:dyDescent="0.25">
      <c r="A253" s="8">
        <v>45930</v>
      </c>
      <c r="B253">
        <v>50.3</v>
      </c>
    </row>
    <row r="254" spans="1:2" x14ac:dyDescent="0.25">
      <c r="A254" s="8">
        <v>45961</v>
      </c>
      <c r="B254">
        <v>52</v>
      </c>
    </row>
    <row r="255" spans="1:2" x14ac:dyDescent="0.25">
      <c r="A255" s="8">
        <v>45991</v>
      </c>
      <c r="B255">
        <v>52.4</v>
      </c>
    </row>
    <row r="256" spans="1:2" x14ac:dyDescent="0.25">
      <c r="A256" s="8">
        <v>46022</v>
      </c>
      <c r="B256">
        <v>53.8</v>
      </c>
    </row>
    <row r="257" spans="1:4" x14ac:dyDescent="0.25">
      <c r="A257" s="8">
        <v>46053</v>
      </c>
      <c r="B257">
        <v>53.8</v>
      </c>
    </row>
    <row r="271" spans="1:4" x14ac:dyDescent="0.25">
      <c r="A271" s="6" t="s">
        <v>58</v>
      </c>
      <c r="B271" s="6" t="s">
        <v>59</v>
      </c>
      <c r="C271" s="6" t="s">
        <v>60</v>
      </c>
      <c r="D271" s="6" t="s">
        <v>54</v>
      </c>
    </row>
    <row r="272" spans="1:4" x14ac:dyDescent="0.25">
      <c r="A272" t="str">
        <f ca="1">_xll.BDH("MPMIFMEZ Index","PX_LAST","02/01/2016",TODAY(),"Per=M")</f>
        <v>#N/A Invalid Security</v>
      </c>
    </row>
    <row r="406" spans="1:4" x14ac:dyDescent="0.25">
      <c r="A406" s="6" t="s">
        <v>61</v>
      </c>
      <c r="B406" s="6" t="s">
        <v>62</v>
      </c>
      <c r="C406" s="6" t="s">
        <v>63</v>
      </c>
      <c r="D406" s="6" t="s">
        <v>54</v>
      </c>
    </row>
    <row r="407" spans="1:4" x14ac:dyDescent="0.25">
      <c r="A407" t="str">
        <f ca="1">_xll.BDH("MPMISFEZ Index","PX_LAST","02/01/2016",TODAY(),"Per=M")</f>
        <v>#N/A Invalid Security</v>
      </c>
    </row>
    <row r="541" spans="1:4" x14ac:dyDescent="0.25">
      <c r="A541" s="6" t="s">
        <v>64</v>
      </c>
      <c r="B541" s="6" t="s">
        <v>65</v>
      </c>
      <c r="C541" s="6" t="s">
        <v>66</v>
      </c>
      <c r="D541" s="6" t="s">
        <v>54</v>
      </c>
    </row>
    <row r="542" spans="1:4" x14ac:dyDescent="0.25">
      <c r="A542" s="8">
        <f ca="1">_xll.BDH("MPMIEZC Index","PX_LAST","02/01/2016",TODAY(),"Per=M","cols=2;rows=37")</f>
        <v>44957</v>
      </c>
      <c r="B542">
        <v>50.3</v>
      </c>
    </row>
    <row r="543" spans="1:4" x14ac:dyDescent="0.25">
      <c r="A543" s="8">
        <v>44985</v>
      </c>
      <c r="B543">
        <v>52</v>
      </c>
    </row>
    <row r="544" spans="1:4" x14ac:dyDescent="0.25">
      <c r="A544" s="8">
        <v>45016</v>
      </c>
      <c r="B544">
        <v>53.7</v>
      </c>
    </row>
    <row r="545" spans="1:2" x14ac:dyDescent="0.25">
      <c r="A545" s="8">
        <v>45046</v>
      </c>
      <c r="B545">
        <v>54.1</v>
      </c>
    </row>
    <row r="546" spans="1:2" x14ac:dyDescent="0.25">
      <c r="A546" s="8">
        <v>45077</v>
      </c>
      <c r="B546">
        <v>52.8</v>
      </c>
    </row>
    <row r="547" spans="1:2" x14ac:dyDescent="0.25">
      <c r="A547" s="8">
        <v>45107</v>
      </c>
      <c r="B547">
        <v>49.9</v>
      </c>
    </row>
    <row r="548" spans="1:2" x14ac:dyDescent="0.25">
      <c r="A548" s="8">
        <v>45138</v>
      </c>
      <c r="B548">
        <v>48.6</v>
      </c>
    </row>
    <row r="549" spans="1:2" x14ac:dyDescent="0.25">
      <c r="A549" s="8">
        <v>45169</v>
      </c>
      <c r="B549">
        <v>46.7</v>
      </c>
    </row>
    <row r="550" spans="1:2" x14ac:dyDescent="0.25">
      <c r="A550" s="8">
        <v>45199</v>
      </c>
      <c r="B550">
        <v>47.2</v>
      </c>
    </row>
    <row r="551" spans="1:2" x14ac:dyDescent="0.25">
      <c r="A551" s="8">
        <v>45230</v>
      </c>
      <c r="B551">
        <v>46.5</v>
      </c>
    </row>
    <row r="552" spans="1:2" x14ac:dyDescent="0.25">
      <c r="A552" s="8">
        <v>45260</v>
      </c>
      <c r="B552">
        <v>47.6</v>
      </c>
    </row>
    <row r="553" spans="1:2" x14ac:dyDescent="0.25">
      <c r="A553" s="8">
        <v>45291</v>
      </c>
      <c r="B553">
        <v>47.6</v>
      </c>
    </row>
    <row r="554" spans="1:2" x14ac:dyDescent="0.25">
      <c r="A554" s="8">
        <v>45322</v>
      </c>
      <c r="B554">
        <v>47.9</v>
      </c>
    </row>
    <row r="555" spans="1:2" x14ac:dyDescent="0.25">
      <c r="A555" s="8">
        <v>45351</v>
      </c>
      <c r="B555">
        <v>49.2</v>
      </c>
    </row>
    <row r="556" spans="1:2" x14ac:dyDescent="0.25">
      <c r="A556" s="8">
        <v>45382</v>
      </c>
      <c r="B556">
        <v>50.3</v>
      </c>
    </row>
    <row r="557" spans="1:2" x14ac:dyDescent="0.25">
      <c r="A557" s="8">
        <v>45412</v>
      </c>
      <c r="B557">
        <v>51.7</v>
      </c>
    </row>
    <row r="558" spans="1:2" x14ac:dyDescent="0.25">
      <c r="A558" s="8">
        <v>45443</v>
      </c>
      <c r="B558">
        <v>52.2</v>
      </c>
    </row>
    <row r="559" spans="1:2" x14ac:dyDescent="0.25">
      <c r="A559" s="8">
        <v>45473</v>
      </c>
      <c r="B559">
        <v>50.9</v>
      </c>
    </row>
    <row r="560" spans="1:2" x14ac:dyDescent="0.25">
      <c r="A560" s="8">
        <v>45504</v>
      </c>
      <c r="B560">
        <v>50.2</v>
      </c>
    </row>
    <row r="561" spans="1:2" x14ac:dyDescent="0.25">
      <c r="A561" s="8">
        <v>45535</v>
      </c>
      <c r="B561">
        <v>51</v>
      </c>
    </row>
    <row r="562" spans="1:2" x14ac:dyDescent="0.25">
      <c r="A562" s="8">
        <v>45565</v>
      </c>
      <c r="B562">
        <v>49.6</v>
      </c>
    </row>
    <row r="563" spans="1:2" x14ac:dyDescent="0.25">
      <c r="A563" s="8">
        <v>45596</v>
      </c>
      <c r="B563">
        <v>50</v>
      </c>
    </row>
    <row r="564" spans="1:2" x14ac:dyDescent="0.25">
      <c r="A564" s="8">
        <v>45626</v>
      </c>
      <c r="B564">
        <v>48.3</v>
      </c>
    </row>
    <row r="565" spans="1:2" x14ac:dyDescent="0.25">
      <c r="A565" s="8">
        <v>45657</v>
      </c>
      <c r="B565">
        <v>49.6</v>
      </c>
    </row>
    <row r="566" spans="1:2" x14ac:dyDescent="0.25">
      <c r="A566" s="8">
        <v>45688</v>
      </c>
      <c r="B566">
        <v>50.2</v>
      </c>
    </row>
    <row r="567" spans="1:2" x14ac:dyDescent="0.25">
      <c r="A567" s="8">
        <v>45716</v>
      </c>
      <c r="B567">
        <v>50.2</v>
      </c>
    </row>
    <row r="568" spans="1:2" x14ac:dyDescent="0.25">
      <c r="A568" s="8">
        <v>45747</v>
      </c>
      <c r="B568">
        <v>50.9</v>
      </c>
    </row>
    <row r="569" spans="1:2" x14ac:dyDescent="0.25">
      <c r="A569" s="8">
        <v>45777</v>
      </c>
      <c r="B569">
        <v>50.4</v>
      </c>
    </row>
    <row r="570" spans="1:2" x14ac:dyDescent="0.25">
      <c r="A570" s="8">
        <v>45808</v>
      </c>
      <c r="B570">
        <v>50.2</v>
      </c>
    </row>
    <row r="571" spans="1:2" x14ac:dyDescent="0.25">
      <c r="A571" s="8">
        <v>45838</v>
      </c>
      <c r="B571">
        <v>50.6</v>
      </c>
    </row>
    <row r="572" spans="1:2" x14ac:dyDescent="0.25">
      <c r="A572" s="8">
        <v>45869</v>
      </c>
      <c r="B572">
        <v>50.9</v>
      </c>
    </row>
    <row r="573" spans="1:2" x14ac:dyDescent="0.25">
      <c r="A573" s="8">
        <v>45900</v>
      </c>
      <c r="B573">
        <v>51</v>
      </c>
    </row>
    <row r="574" spans="1:2" x14ac:dyDescent="0.25">
      <c r="A574" s="8">
        <v>45930</v>
      </c>
      <c r="B574">
        <v>51.2</v>
      </c>
    </row>
    <row r="575" spans="1:2" x14ac:dyDescent="0.25">
      <c r="A575" s="8">
        <v>45961</v>
      </c>
      <c r="B575">
        <v>52.5</v>
      </c>
    </row>
    <row r="576" spans="1:2" x14ac:dyDescent="0.25">
      <c r="A576" s="8">
        <v>45991</v>
      </c>
      <c r="B576">
        <v>52.8</v>
      </c>
    </row>
    <row r="577" spans="1:2" x14ac:dyDescent="0.25">
      <c r="A577" s="8">
        <v>46022</v>
      </c>
      <c r="B577">
        <v>51.5</v>
      </c>
    </row>
    <row r="578" spans="1:2" x14ac:dyDescent="0.25">
      <c r="A578" s="8">
        <v>46053</v>
      </c>
      <c r="B578">
        <v>51.3</v>
      </c>
    </row>
    <row r="676" spans="1:4" x14ac:dyDescent="0.25">
      <c r="A676" s="6" t="s">
        <v>67</v>
      </c>
      <c r="B676" s="6" t="s">
        <v>68</v>
      </c>
      <c r="C676" s="6" t="s">
        <v>69</v>
      </c>
      <c r="D676" s="6" t="s">
        <v>54</v>
      </c>
    </row>
    <row r="677" spans="1:4" x14ac:dyDescent="0.25">
      <c r="A677" s="8">
        <f ca="1">_xll.BDH("CPMINDX Index","PX_LAST","02/01/2016",TODAY(),"Per=M","cols=2;rows=121")</f>
        <v>42400</v>
      </c>
      <c r="B677">
        <v>49.4</v>
      </c>
    </row>
    <row r="678" spans="1:4" x14ac:dyDescent="0.25">
      <c r="A678" s="8">
        <v>42429</v>
      </c>
      <c r="B678">
        <v>49</v>
      </c>
    </row>
    <row r="679" spans="1:4" x14ac:dyDescent="0.25">
      <c r="A679" s="8">
        <v>42460</v>
      </c>
      <c r="B679">
        <v>50.2</v>
      </c>
    </row>
    <row r="680" spans="1:4" x14ac:dyDescent="0.25">
      <c r="A680" s="8">
        <v>42490</v>
      </c>
      <c r="B680">
        <v>50.1</v>
      </c>
    </row>
    <row r="681" spans="1:4" x14ac:dyDescent="0.25">
      <c r="A681" s="8">
        <v>42521</v>
      </c>
      <c r="B681">
        <v>50.1</v>
      </c>
    </row>
    <row r="682" spans="1:4" x14ac:dyDescent="0.25">
      <c r="A682" s="8">
        <v>42551</v>
      </c>
      <c r="B682">
        <v>50</v>
      </c>
    </row>
    <row r="683" spans="1:4" x14ac:dyDescent="0.25">
      <c r="A683" s="8">
        <v>42582</v>
      </c>
      <c r="B683">
        <v>49.9</v>
      </c>
    </row>
    <row r="684" spans="1:4" x14ac:dyDescent="0.25">
      <c r="A684" s="8">
        <v>42613</v>
      </c>
      <c r="B684">
        <v>50.4</v>
      </c>
    </row>
    <row r="685" spans="1:4" x14ac:dyDescent="0.25">
      <c r="A685" s="8">
        <v>42643</v>
      </c>
      <c r="B685">
        <v>50.4</v>
      </c>
    </row>
    <row r="686" spans="1:4" x14ac:dyDescent="0.25">
      <c r="A686" s="8">
        <v>42674</v>
      </c>
      <c r="B686">
        <v>51.2</v>
      </c>
    </row>
    <row r="687" spans="1:4" x14ac:dyDescent="0.25">
      <c r="A687" s="8">
        <v>42704</v>
      </c>
      <c r="B687">
        <v>51.7</v>
      </c>
    </row>
    <row r="688" spans="1:4" x14ac:dyDescent="0.25">
      <c r="A688" s="8">
        <v>42735</v>
      </c>
      <c r="B688">
        <v>51.4</v>
      </c>
    </row>
    <row r="689" spans="1:2" x14ac:dyDescent="0.25">
      <c r="A689" s="8">
        <v>42766</v>
      </c>
      <c r="B689">
        <v>51.3</v>
      </c>
    </row>
    <row r="690" spans="1:2" x14ac:dyDescent="0.25">
      <c r="A690" s="8">
        <v>42794</v>
      </c>
      <c r="B690">
        <v>51.6</v>
      </c>
    </row>
    <row r="691" spans="1:2" x14ac:dyDescent="0.25">
      <c r="A691" s="8">
        <v>42825</v>
      </c>
      <c r="B691">
        <v>51.8</v>
      </c>
    </row>
    <row r="692" spans="1:2" x14ac:dyDescent="0.25">
      <c r="A692" s="8">
        <v>42855</v>
      </c>
      <c r="B692">
        <v>51.2</v>
      </c>
    </row>
    <row r="693" spans="1:2" x14ac:dyDescent="0.25">
      <c r="A693" s="8">
        <v>42886</v>
      </c>
      <c r="B693">
        <v>51.2</v>
      </c>
    </row>
    <row r="694" spans="1:2" x14ac:dyDescent="0.25">
      <c r="A694" s="8">
        <v>42916</v>
      </c>
      <c r="B694">
        <v>51.7</v>
      </c>
    </row>
    <row r="695" spans="1:2" x14ac:dyDescent="0.25">
      <c r="A695" s="8">
        <v>42947</v>
      </c>
      <c r="B695">
        <v>51.4</v>
      </c>
    </row>
    <row r="696" spans="1:2" x14ac:dyDescent="0.25">
      <c r="A696" s="8">
        <v>42978</v>
      </c>
      <c r="B696">
        <v>51.7</v>
      </c>
    </row>
    <row r="697" spans="1:2" x14ac:dyDescent="0.25">
      <c r="A697" s="8">
        <v>43008</v>
      </c>
      <c r="B697">
        <v>52.4</v>
      </c>
    </row>
    <row r="698" spans="1:2" x14ac:dyDescent="0.25">
      <c r="A698" s="8">
        <v>43039</v>
      </c>
      <c r="B698">
        <v>51.6</v>
      </c>
    </row>
    <row r="699" spans="1:2" x14ac:dyDescent="0.25">
      <c r="A699" s="8">
        <v>43069</v>
      </c>
      <c r="B699">
        <v>51.8</v>
      </c>
    </row>
    <row r="700" spans="1:2" x14ac:dyDescent="0.25">
      <c r="A700" s="8">
        <v>43100</v>
      </c>
      <c r="B700">
        <v>51.6</v>
      </c>
    </row>
    <row r="701" spans="1:2" x14ac:dyDescent="0.25">
      <c r="A701" s="8">
        <v>43131</v>
      </c>
      <c r="B701">
        <v>51.3</v>
      </c>
    </row>
    <row r="702" spans="1:2" x14ac:dyDescent="0.25">
      <c r="A702" s="8">
        <v>43159</v>
      </c>
      <c r="B702">
        <v>50.3</v>
      </c>
    </row>
    <row r="703" spans="1:2" x14ac:dyDescent="0.25">
      <c r="A703" s="8">
        <v>43190</v>
      </c>
      <c r="B703">
        <v>51.5</v>
      </c>
    </row>
    <row r="704" spans="1:2" x14ac:dyDescent="0.25">
      <c r="A704" s="8">
        <v>43220</v>
      </c>
      <c r="B704">
        <v>51.4</v>
      </c>
    </row>
    <row r="705" spans="1:2" x14ac:dyDescent="0.25">
      <c r="A705" s="8">
        <v>43251</v>
      </c>
      <c r="B705">
        <v>51.9</v>
      </c>
    </row>
    <row r="706" spans="1:2" x14ac:dyDescent="0.25">
      <c r="A706" s="8">
        <v>43281</v>
      </c>
      <c r="B706">
        <v>51.5</v>
      </c>
    </row>
    <row r="707" spans="1:2" x14ac:dyDescent="0.25">
      <c r="A707" s="8">
        <v>43312</v>
      </c>
      <c r="B707">
        <v>51.2</v>
      </c>
    </row>
    <row r="708" spans="1:2" x14ac:dyDescent="0.25">
      <c r="A708" s="8">
        <v>43343</v>
      </c>
      <c r="B708">
        <v>51.3</v>
      </c>
    </row>
    <row r="709" spans="1:2" x14ac:dyDescent="0.25">
      <c r="A709" s="8">
        <v>43373</v>
      </c>
      <c r="B709">
        <v>50.8</v>
      </c>
    </row>
    <row r="710" spans="1:2" x14ac:dyDescent="0.25">
      <c r="A710" s="8">
        <v>43404</v>
      </c>
      <c r="B710">
        <v>50.2</v>
      </c>
    </row>
    <row r="711" spans="1:2" x14ac:dyDescent="0.25">
      <c r="A711" s="8">
        <v>43434</v>
      </c>
      <c r="B711">
        <v>50</v>
      </c>
    </row>
    <row r="712" spans="1:2" x14ac:dyDescent="0.25">
      <c r="A712" s="8">
        <v>43465</v>
      </c>
      <c r="B712">
        <v>49.4</v>
      </c>
    </row>
    <row r="713" spans="1:2" x14ac:dyDescent="0.25">
      <c r="A713" s="8">
        <v>43496</v>
      </c>
      <c r="B713">
        <v>49.5</v>
      </c>
    </row>
    <row r="714" spans="1:2" x14ac:dyDescent="0.25">
      <c r="A714" s="8">
        <v>43524</v>
      </c>
      <c r="B714">
        <v>49.2</v>
      </c>
    </row>
    <row r="715" spans="1:2" x14ac:dyDescent="0.25">
      <c r="A715" s="8">
        <v>43555</v>
      </c>
      <c r="B715">
        <v>50.5</v>
      </c>
    </row>
    <row r="716" spans="1:2" x14ac:dyDescent="0.25">
      <c r="A716" s="8">
        <v>43585</v>
      </c>
      <c r="B716">
        <v>50.1</v>
      </c>
    </row>
    <row r="717" spans="1:2" x14ac:dyDescent="0.25">
      <c r="A717" s="8">
        <v>43616</v>
      </c>
      <c r="B717">
        <v>49.4</v>
      </c>
    </row>
    <row r="718" spans="1:2" x14ac:dyDescent="0.25">
      <c r="A718" s="8">
        <v>43646</v>
      </c>
      <c r="B718">
        <v>49.4</v>
      </c>
    </row>
    <row r="719" spans="1:2" x14ac:dyDescent="0.25">
      <c r="A719" s="8">
        <v>43677</v>
      </c>
      <c r="B719">
        <v>49.7</v>
      </c>
    </row>
    <row r="720" spans="1:2" x14ac:dyDescent="0.25">
      <c r="A720" s="8">
        <v>43708</v>
      </c>
      <c r="B720">
        <v>49.5</v>
      </c>
    </row>
    <row r="721" spans="1:2" x14ac:dyDescent="0.25">
      <c r="A721" s="8">
        <v>43738</v>
      </c>
      <c r="B721">
        <v>49.8</v>
      </c>
    </row>
    <row r="722" spans="1:2" x14ac:dyDescent="0.25">
      <c r="A722" s="8">
        <v>43769</v>
      </c>
      <c r="B722">
        <v>49.3</v>
      </c>
    </row>
    <row r="723" spans="1:2" x14ac:dyDescent="0.25">
      <c r="A723" s="8">
        <v>43799</v>
      </c>
      <c r="B723">
        <v>50.2</v>
      </c>
    </row>
    <row r="724" spans="1:2" x14ac:dyDescent="0.25">
      <c r="A724" s="8">
        <v>43830</v>
      </c>
      <c r="B724">
        <v>50.2</v>
      </c>
    </row>
    <row r="725" spans="1:2" x14ac:dyDescent="0.25">
      <c r="A725" s="8">
        <v>43861</v>
      </c>
      <c r="B725">
        <v>50</v>
      </c>
    </row>
    <row r="726" spans="1:2" x14ac:dyDescent="0.25">
      <c r="A726" s="8">
        <v>43890</v>
      </c>
      <c r="B726">
        <v>35.700000000000003</v>
      </c>
    </row>
    <row r="727" spans="1:2" x14ac:dyDescent="0.25">
      <c r="A727" s="8">
        <v>43921</v>
      </c>
      <c r="B727">
        <v>52</v>
      </c>
    </row>
    <row r="728" spans="1:2" x14ac:dyDescent="0.25">
      <c r="A728" s="8">
        <v>43951</v>
      </c>
      <c r="B728">
        <v>50.8</v>
      </c>
    </row>
    <row r="729" spans="1:2" x14ac:dyDescent="0.25">
      <c r="A729" s="8">
        <v>43982</v>
      </c>
      <c r="B729">
        <v>50.6</v>
      </c>
    </row>
    <row r="730" spans="1:2" x14ac:dyDescent="0.25">
      <c r="A730" s="8">
        <v>44012</v>
      </c>
      <c r="B730">
        <v>50.9</v>
      </c>
    </row>
    <row r="731" spans="1:2" x14ac:dyDescent="0.25">
      <c r="A731" s="8">
        <v>44043</v>
      </c>
      <c r="B731">
        <v>51.1</v>
      </c>
    </row>
    <row r="732" spans="1:2" x14ac:dyDescent="0.25">
      <c r="A732" s="8">
        <v>44074</v>
      </c>
      <c r="B732">
        <v>51</v>
      </c>
    </row>
    <row r="733" spans="1:2" x14ac:dyDescent="0.25">
      <c r="A733" s="8">
        <v>44104</v>
      </c>
      <c r="B733">
        <v>51.5</v>
      </c>
    </row>
    <row r="734" spans="1:2" x14ac:dyDescent="0.25">
      <c r="A734" s="8">
        <v>44135</v>
      </c>
      <c r="B734">
        <v>51.4</v>
      </c>
    </row>
    <row r="735" spans="1:2" x14ac:dyDescent="0.25">
      <c r="A735" s="8">
        <v>44165</v>
      </c>
      <c r="B735">
        <v>52.1</v>
      </c>
    </row>
    <row r="736" spans="1:2" x14ac:dyDescent="0.25">
      <c r="A736" s="8">
        <v>44196</v>
      </c>
      <c r="B736">
        <v>51.9</v>
      </c>
    </row>
    <row r="737" spans="1:2" x14ac:dyDescent="0.25">
      <c r="A737" s="8">
        <v>44227</v>
      </c>
      <c r="B737">
        <v>51.3</v>
      </c>
    </row>
    <row r="738" spans="1:2" x14ac:dyDescent="0.25">
      <c r="A738" s="8">
        <v>44255</v>
      </c>
      <c r="B738">
        <v>50.6</v>
      </c>
    </row>
    <row r="739" spans="1:2" x14ac:dyDescent="0.25">
      <c r="A739" s="8">
        <v>44286</v>
      </c>
      <c r="B739">
        <v>51.9</v>
      </c>
    </row>
    <row r="740" spans="1:2" x14ac:dyDescent="0.25">
      <c r="A740" s="8">
        <v>44316</v>
      </c>
      <c r="B740">
        <v>51.1</v>
      </c>
    </row>
    <row r="741" spans="1:2" x14ac:dyDescent="0.25">
      <c r="A741" s="8">
        <v>44347</v>
      </c>
      <c r="B741">
        <v>51</v>
      </c>
    </row>
    <row r="742" spans="1:2" x14ac:dyDescent="0.25">
      <c r="A742" s="8">
        <v>44377</v>
      </c>
      <c r="B742">
        <v>50.9</v>
      </c>
    </row>
    <row r="743" spans="1:2" x14ac:dyDescent="0.25">
      <c r="A743" s="8">
        <v>44408</v>
      </c>
      <c r="B743">
        <v>50.4</v>
      </c>
    </row>
    <row r="744" spans="1:2" x14ac:dyDescent="0.25">
      <c r="A744" s="8">
        <v>44439</v>
      </c>
      <c r="B744">
        <v>50.1</v>
      </c>
    </row>
    <row r="745" spans="1:2" x14ac:dyDescent="0.25">
      <c r="A745" s="8">
        <v>44469</v>
      </c>
      <c r="B745">
        <v>49.6</v>
      </c>
    </row>
    <row r="746" spans="1:2" x14ac:dyDescent="0.25">
      <c r="A746" s="8">
        <v>44500</v>
      </c>
      <c r="B746">
        <v>49.2</v>
      </c>
    </row>
    <row r="747" spans="1:2" x14ac:dyDescent="0.25">
      <c r="A747" s="8">
        <v>44530</v>
      </c>
      <c r="B747">
        <v>50.1</v>
      </c>
    </row>
    <row r="748" spans="1:2" x14ac:dyDescent="0.25">
      <c r="A748" s="8">
        <v>44561</v>
      </c>
      <c r="B748">
        <v>50.3</v>
      </c>
    </row>
    <row r="749" spans="1:2" x14ac:dyDescent="0.25">
      <c r="A749" s="8">
        <v>44592</v>
      </c>
      <c r="B749">
        <v>50.1</v>
      </c>
    </row>
    <row r="750" spans="1:2" x14ac:dyDescent="0.25">
      <c r="A750" s="8">
        <v>44620</v>
      </c>
      <c r="B750">
        <v>50.2</v>
      </c>
    </row>
    <row r="751" spans="1:2" x14ac:dyDescent="0.25">
      <c r="A751" s="8">
        <v>44651</v>
      </c>
      <c r="B751">
        <v>49.5</v>
      </c>
    </row>
    <row r="752" spans="1:2" x14ac:dyDescent="0.25">
      <c r="A752" s="8">
        <v>44681</v>
      </c>
      <c r="B752">
        <v>47.4</v>
      </c>
    </row>
    <row r="753" spans="1:2" x14ac:dyDescent="0.25">
      <c r="A753" s="8">
        <v>44712</v>
      </c>
      <c r="B753">
        <v>49.6</v>
      </c>
    </row>
    <row r="754" spans="1:2" x14ac:dyDescent="0.25">
      <c r="A754" s="8">
        <v>44742</v>
      </c>
      <c r="B754">
        <v>50.2</v>
      </c>
    </row>
    <row r="755" spans="1:2" x14ac:dyDescent="0.25">
      <c r="A755" s="8">
        <v>44773</v>
      </c>
      <c r="B755">
        <v>49</v>
      </c>
    </row>
    <row r="756" spans="1:2" x14ac:dyDescent="0.25">
      <c r="A756" s="8">
        <v>44804</v>
      </c>
      <c r="B756">
        <v>49.4</v>
      </c>
    </row>
    <row r="757" spans="1:2" x14ac:dyDescent="0.25">
      <c r="A757" s="8">
        <v>44834</v>
      </c>
      <c r="B757">
        <v>50.1</v>
      </c>
    </row>
    <row r="758" spans="1:2" x14ac:dyDescent="0.25">
      <c r="A758" s="8">
        <v>44865</v>
      </c>
      <c r="B758">
        <v>49.2</v>
      </c>
    </row>
    <row r="759" spans="1:2" x14ac:dyDescent="0.25">
      <c r="A759" s="8">
        <v>44895</v>
      </c>
      <c r="B759">
        <v>48</v>
      </c>
    </row>
    <row r="760" spans="1:2" x14ac:dyDescent="0.25">
      <c r="A760" s="8">
        <v>44926</v>
      </c>
      <c r="B760">
        <v>47</v>
      </c>
    </row>
    <row r="761" spans="1:2" x14ac:dyDescent="0.25">
      <c r="A761" s="8">
        <v>44957</v>
      </c>
      <c r="B761">
        <v>50.1</v>
      </c>
    </row>
    <row r="762" spans="1:2" x14ac:dyDescent="0.25">
      <c r="A762" s="8">
        <v>44985</v>
      </c>
      <c r="B762">
        <v>52.6</v>
      </c>
    </row>
    <row r="763" spans="1:2" x14ac:dyDescent="0.25">
      <c r="A763" s="8">
        <v>45016</v>
      </c>
      <c r="B763">
        <v>51.9</v>
      </c>
    </row>
    <row r="764" spans="1:2" x14ac:dyDescent="0.25">
      <c r="A764" s="8">
        <v>45046</v>
      </c>
      <c r="B764">
        <v>49.2</v>
      </c>
    </row>
    <row r="765" spans="1:2" x14ac:dyDescent="0.25">
      <c r="A765" s="8">
        <v>45077</v>
      </c>
      <c r="B765">
        <v>48.8</v>
      </c>
    </row>
    <row r="766" spans="1:2" x14ac:dyDescent="0.25">
      <c r="A766" s="8">
        <v>45107</v>
      </c>
      <c r="B766">
        <v>49</v>
      </c>
    </row>
    <row r="767" spans="1:2" x14ac:dyDescent="0.25">
      <c r="A767" s="8">
        <v>45138</v>
      </c>
      <c r="B767">
        <v>49.3</v>
      </c>
    </row>
    <row r="768" spans="1:2" x14ac:dyDescent="0.25">
      <c r="A768" s="8">
        <v>45169</v>
      </c>
      <c r="B768">
        <v>49.7</v>
      </c>
    </row>
    <row r="769" spans="1:2" x14ac:dyDescent="0.25">
      <c r="A769" s="8">
        <v>45199</v>
      </c>
      <c r="B769">
        <v>50.2</v>
      </c>
    </row>
    <row r="770" spans="1:2" x14ac:dyDescent="0.25">
      <c r="A770" s="8">
        <v>45230</v>
      </c>
      <c r="B770">
        <v>49.5</v>
      </c>
    </row>
    <row r="771" spans="1:2" x14ac:dyDescent="0.25">
      <c r="A771" s="8">
        <v>45260</v>
      </c>
      <c r="B771">
        <v>49.4</v>
      </c>
    </row>
    <row r="772" spans="1:2" x14ac:dyDescent="0.25">
      <c r="A772" s="8">
        <v>45291</v>
      </c>
      <c r="B772">
        <v>49</v>
      </c>
    </row>
    <row r="773" spans="1:2" x14ac:dyDescent="0.25">
      <c r="A773" s="8">
        <v>45322</v>
      </c>
      <c r="B773">
        <v>49.2</v>
      </c>
    </row>
    <row r="774" spans="1:2" x14ac:dyDescent="0.25">
      <c r="A774" s="8">
        <v>45351</v>
      </c>
      <c r="B774">
        <v>49.1</v>
      </c>
    </row>
    <row r="775" spans="1:2" x14ac:dyDescent="0.25">
      <c r="A775" s="8">
        <v>45382</v>
      </c>
      <c r="B775">
        <v>50.8</v>
      </c>
    </row>
    <row r="776" spans="1:2" x14ac:dyDescent="0.25">
      <c r="A776" s="8">
        <v>45412</v>
      </c>
      <c r="B776">
        <v>50.4</v>
      </c>
    </row>
    <row r="777" spans="1:2" x14ac:dyDescent="0.25">
      <c r="A777" s="8">
        <v>45443</v>
      </c>
      <c r="B777">
        <v>49.5</v>
      </c>
    </row>
    <row r="778" spans="1:2" x14ac:dyDescent="0.25">
      <c r="A778" s="8">
        <v>45473</v>
      </c>
      <c r="B778">
        <v>49.5</v>
      </c>
    </row>
    <row r="779" spans="1:2" x14ac:dyDescent="0.25">
      <c r="A779" s="8">
        <v>45504</v>
      </c>
      <c r="B779">
        <v>49.4</v>
      </c>
    </row>
    <row r="780" spans="1:2" x14ac:dyDescent="0.25">
      <c r="A780" s="8">
        <v>45535</v>
      </c>
      <c r="B780">
        <v>49.1</v>
      </c>
    </row>
    <row r="781" spans="1:2" x14ac:dyDescent="0.25">
      <c r="A781" s="8">
        <v>45565</v>
      </c>
      <c r="B781">
        <v>49.8</v>
      </c>
    </row>
    <row r="782" spans="1:2" x14ac:dyDescent="0.25">
      <c r="A782" s="8">
        <v>45596</v>
      </c>
      <c r="B782">
        <v>50.1</v>
      </c>
    </row>
    <row r="783" spans="1:2" x14ac:dyDescent="0.25">
      <c r="A783" s="8">
        <v>45626</v>
      </c>
      <c r="B783">
        <v>50.3</v>
      </c>
    </row>
    <row r="784" spans="1:2" x14ac:dyDescent="0.25">
      <c r="A784" s="8">
        <v>45657</v>
      </c>
      <c r="B784">
        <v>50.1</v>
      </c>
    </row>
    <row r="785" spans="1:2" x14ac:dyDescent="0.25">
      <c r="A785" s="8">
        <v>45688</v>
      </c>
      <c r="B785">
        <v>49.1</v>
      </c>
    </row>
    <row r="786" spans="1:2" x14ac:dyDescent="0.25">
      <c r="A786" s="8">
        <v>45716</v>
      </c>
      <c r="B786">
        <v>50.2</v>
      </c>
    </row>
    <row r="787" spans="1:2" x14ac:dyDescent="0.25">
      <c r="A787" s="8">
        <v>45747</v>
      </c>
      <c r="B787">
        <v>50.5</v>
      </c>
    </row>
    <row r="788" spans="1:2" x14ac:dyDescent="0.25">
      <c r="A788" s="8">
        <v>45777</v>
      </c>
      <c r="B788">
        <v>49</v>
      </c>
    </row>
    <row r="789" spans="1:2" x14ac:dyDescent="0.25">
      <c r="A789" s="8">
        <v>45808</v>
      </c>
      <c r="B789">
        <v>49.5</v>
      </c>
    </row>
    <row r="790" spans="1:2" x14ac:dyDescent="0.25">
      <c r="A790" s="8">
        <v>45838</v>
      </c>
      <c r="B790">
        <v>49.7</v>
      </c>
    </row>
    <row r="791" spans="1:2" x14ac:dyDescent="0.25">
      <c r="A791" s="8">
        <v>45869</v>
      </c>
      <c r="B791">
        <v>49.3</v>
      </c>
    </row>
    <row r="792" spans="1:2" x14ac:dyDescent="0.25">
      <c r="A792" s="8">
        <v>45900</v>
      </c>
      <c r="B792">
        <v>49.4</v>
      </c>
    </row>
    <row r="793" spans="1:2" x14ac:dyDescent="0.25">
      <c r="A793" s="8">
        <v>45930</v>
      </c>
      <c r="B793">
        <v>49.8</v>
      </c>
    </row>
    <row r="794" spans="1:2" x14ac:dyDescent="0.25">
      <c r="A794" s="8">
        <v>45961</v>
      </c>
      <c r="B794">
        <v>49</v>
      </c>
    </row>
    <row r="795" spans="1:2" x14ac:dyDescent="0.25">
      <c r="A795" s="8">
        <v>45991</v>
      </c>
      <c r="B795">
        <v>49.2</v>
      </c>
    </row>
    <row r="796" spans="1:2" x14ac:dyDescent="0.25">
      <c r="A796" s="8">
        <v>46022</v>
      </c>
      <c r="B796">
        <v>50.1</v>
      </c>
    </row>
    <row r="797" spans="1:2" x14ac:dyDescent="0.25">
      <c r="A797" s="8">
        <v>46053</v>
      </c>
      <c r="B797">
        <v>49.3</v>
      </c>
    </row>
    <row r="811" spans="1:4" x14ac:dyDescent="0.25">
      <c r="A811" s="6" t="s">
        <v>70</v>
      </c>
      <c r="B811" s="6" t="s">
        <v>71</v>
      </c>
      <c r="C811" s="6" t="s">
        <v>72</v>
      </c>
      <c r="D811" s="6" t="s">
        <v>54</v>
      </c>
    </row>
    <row r="812" spans="1:4" x14ac:dyDescent="0.25">
      <c r="A812" t="str">
        <f ca="1">_xll.BDH("CHPMCOMP Index","PX_LAST","02/01/2016",TODAY(),"Per=M")</f>
        <v>#N/A Invalid Security</v>
      </c>
    </row>
    <row r="946" spans="1:4" x14ac:dyDescent="0.25">
      <c r="A946" s="6" t="s">
        <v>73</v>
      </c>
      <c r="B946" s="6" t="s">
        <v>74</v>
      </c>
      <c r="C946" s="6" t="s">
        <v>75</v>
      </c>
      <c r="D946" s="6" t="s">
        <v>54</v>
      </c>
    </row>
    <row r="947" spans="1:4" x14ac:dyDescent="0.25">
      <c r="A947" t="str">
        <f ca="1">_xll.BDH("JNMPMFG Index","PX_LAST","02/01/2016",TODAY(),"Per=M")</f>
        <v>#N/A Invalid Security</v>
      </c>
    </row>
    <row r="1081" spans="1:4" x14ac:dyDescent="0.25">
      <c r="A1081" s="6" t="s">
        <v>76</v>
      </c>
      <c r="B1081" s="6" t="s">
        <v>77</v>
      </c>
      <c r="C1081" s="6" t="s">
        <v>78</v>
      </c>
      <c r="D1081" s="6" t="s">
        <v>54</v>
      </c>
    </row>
    <row r="1082" spans="1:4" x14ac:dyDescent="0.25">
      <c r="A1082" t="str">
        <f ca="1">_xll.BDH("MPMIJPGM Index","PX_LAST","02/01/2016",TODAY(),"Per=M")</f>
        <v>#N/A Invalid Security</v>
      </c>
    </row>
    <row r="1216" spans="1:4" x14ac:dyDescent="0.25">
      <c r="A1216" s="6" t="s">
        <v>79</v>
      </c>
      <c r="B1216" s="6" t="s">
        <v>80</v>
      </c>
      <c r="C1216" s="6" t="s">
        <v>81</v>
      </c>
      <c r="D1216" s="6" t="s">
        <v>54</v>
      </c>
    </row>
    <row r="1217" spans="1:2" x14ac:dyDescent="0.25">
      <c r="A1217" s="8">
        <f ca="1">_xll.BDH("PMITMUK Index","PX_LAST","02/01/2016",TODAY(),"Per=M","cols=2;rows=36")</f>
        <v>44985</v>
      </c>
      <c r="B1217">
        <v>49.3</v>
      </c>
    </row>
    <row r="1218" spans="1:2" x14ac:dyDescent="0.25">
      <c r="A1218" s="8">
        <v>45016</v>
      </c>
      <c r="B1218">
        <v>47.9</v>
      </c>
    </row>
    <row r="1219" spans="1:2" x14ac:dyDescent="0.25">
      <c r="A1219" s="8">
        <v>45046</v>
      </c>
      <c r="B1219">
        <v>47.8</v>
      </c>
    </row>
    <row r="1220" spans="1:2" x14ac:dyDescent="0.25">
      <c r="A1220" s="8">
        <v>45077</v>
      </c>
      <c r="B1220">
        <v>47.1</v>
      </c>
    </row>
    <row r="1221" spans="1:2" x14ac:dyDescent="0.25">
      <c r="A1221" s="8">
        <v>45107</v>
      </c>
      <c r="B1221">
        <v>46.5</v>
      </c>
    </row>
    <row r="1222" spans="1:2" x14ac:dyDescent="0.25">
      <c r="A1222" s="8">
        <v>45138</v>
      </c>
      <c r="B1222">
        <v>45.3</v>
      </c>
    </row>
    <row r="1223" spans="1:2" x14ac:dyDescent="0.25">
      <c r="A1223" s="8">
        <v>45169</v>
      </c>
      <c r="B1223">
        <v>43</v>
      </c>
    </row>
    <row r="1224" spans="1:2" x14ac:dyDescent="0.25">
      <c r="A1224" s="8">
        <v>45199</v>
      </c>
      <c r="B1224">
        <v>44.3</v>
      </c>
    </row>
    <row r="1225" spans="1:2" x14ac:dyDescent="0.25">
      <c r="A1225" s="8">
        <v>45230</v>
      </c>
      <c r="B1225">
        <v>44.8</v>
      </c>
    </row>
    <row r="1226" spans="1:2" x14ac:dyDescent="0.25">
      <c r="A1226" s="8">
        <v>45260</v>
      </c>
      <c r="B1226">
        <v>47.2</v>
      </c>
    </row>
    <row r="1227" spans="1:2" x14ac:dyDescent="0.25">
      <c r="A1227" s="8">
        <v>45291</v>
      </c>
      <c r="B1227">
        <v>46.2</v>
      </c>
    </row>
    <row r="1228" spans="1:2" x14ac:dyDescent="0.25">
      <c r="A1228" s="8">
        <v>45322</v>
      </c>
      <c r="B1228">
        <v>47</v>
      </c>
    </row>
    <row r="1229" spans="1:2" x14ac:dyDescent="0.25">
      <c r="A1229" s="8">
        <v>45351</v>
      </c>
      <c r="B1229">
        <v>47.5</v>
      </c>
    </row>
    <row r="1230" spans="1:2" x14ac:dyDescent="0.25">
      <c r="A1230" s="8">
        <v>45382</v>
      </c>
      <c r="B1230">
        <v>50.3</v>
      </c>
    </row>
    <row r="1231" spans="1:2" x14ac:dyDescent="0.25">
      <c r="A1231" s="8">
        <v>45412</v>
      </c>
      <c r="B1231">
        <v>49.1</v>
      </c>
    </row>
    <row r="1232" spans="1:2" x14ac:dyDescent="0.25">
      <c r="A1232" s="8">
        <v>45443</v>
      </c>
      <c r="B1232">
        <v>51.2</v>
      </c>
    </row>
    <row r="1233" spans="1:2" x14ac:dyDescent="0.25">
      <c r="A1233" s="8">
        <v>45473</v>
      </c>
      <c r="B1233">
        <v>50.9</v>
      </c>
    </row>
    <row r="1234" spans="1:2" x14ac:dyDescent="0.25">
      <c r="A1234" s="8">
        <v>45504</v>
      </c>
      <c r="B1234">
        <v>52.1</v>
      </c>
    </row>
    <row r="1235" spans="1:2" x14ac:dyDescent="0.25">
      <c r="A1235" s="8">
        <v>45535</v>
      </c>
      <c r="B1235">
        <v>52.5</v>
      </c>
    </row>
    <row r="1236" spans="1:2" x14ac:dyDescent="0.25">
      <c r="A1236" s="8">
        <v>45565</v>
      </c>
      <c r="B1236">
        <v>51.5</v>
      </c>
    </row>
    <row r="1237" spans="1:2" x14ac:dyDescent="0.25">
      <c r="A1237" s="8">
        <v>45596</v>
      </c>
      <c r="B1237">
        <v>49.9</v>
      </c>
    </row>
    <row r="1238" spans="1:2" x14ac:dyDescent="0.25">
      <c r="A1238" s="8">
        <v>45626</v>
      </c>
      <c r="B1238">
        <v>48</v>
      </c>
    </row>
    <row r="1239" spans="1:2" x14ac:dyDescent="0.25">
      <c r="A1239" s="8">
        <v>45657</v>
      </c>
      <c r="B1239">
        <v>47</v>
      </c>
    </row>
    <row r="1240" spans="1:2" x14ac:dyDescent="0.25">
      <c r="A1240" s="8">
        <v>45688</v>
      </c>
      <c r="B1240">
        <v>48.3</v>
      </c>
    </row>
    <row r="1241" spans="1:2" x14ac:dyDescent="0.25">
      <c r="A1241" s="8">
        <v>45716</v>
      </c>
      <c r="B1241">
        <v>46.9</v>
      </c>
    </row>
    <row r="1242" spans="1:2" x14ac:dyDescent="0.25">
      <c r="A1242" s="8">
        <v>45747</v>
      </c>
      <c r="B1242">
        <v>44.9</v>
      </c>
    </row>
    <row r="1243" spans="1:2" x14ac:dyDescent="0.25">
      <c r="A1243" s="8">
        <v>45777</v>
      </c>
      <c r="B1243">
        <v>45.4</v>
      </c>
    </row>
    <row r="1244" spans="1:2" x14ac:dyDescent="0.25">
      <c r="A1244" s="8">
        <v>45808</v>
      </c>
      <c r="B1244">
        <v>46.4</v>
      </c>
    </row>
    <row r="1245" spans="1:2" x14ac:dyDescent="0.25">
      <c r="A1245" s="8">
        <v>45838</v>
      </c>
      <c r="B1245">
        <v>47.7</v>
      </c>
    </row>
    <row r="1246" spans="1:2" x14ac:dyDescent="0.25">
      <c r="A1246" s="8">
        <v>45869</v>
      </c>
      <c r="B1246">
        <v>48</v>
      </c>
    </row>
    <row r="1247" spans="1:2" x14ac:dyDescent="0.25">
      <c r="A1247" s="8">
        <v>45900</v>
      </c>
      <c r="B1247">
        <v>47</v>
      </c>
    </row>
    <row r="1248" spans="1:2" x14ac:dyDescent="0.25">
      <c r="A1248" s="8">
        <v>45930</v>
      </c>
      <c r="B1248">
        <v>46.2</v>
      </c>
    </row>
    <row r="1249" spans="1:2" x14ac:dyDescent="0.25">
      <c r="A1249" s="8">
        <v>45961</v>
      </c>
      <c r="B1249">
        <v>49.7</v>
      </c>
    </row>
    <row r="1250" spans="1:2" x14ac:dyDescent="0.25">
      <c r="A1250" s="8">
        <v>45991</v>
      </c>
      <c r="B1250">
        <v>50.2</v>
      </c>
    </row>
    <row r="1251" spans="1:2" x14ac:dyDescent="0.25">
      <c r="A1251" s="8">
        <v>46022</v>
      </c>
      <c r="B1251">
        <v>50.6</v>
      </c>
    </row>
    <row r="1252" spans="1:2" x14ac:dyDescent="0.25">
      <c r="A1252" s="8">
        <v>46053</v>
      </c>
      <c r="B1252">
        <v>51.8</v>
      </c>
    </row>
    <row r="1351" spans="1:4" x14ac:dyDescent="0.25">
      <c r="A1351" s="6" t="s">
        <v>82</v>
      </c>
      <c r="B1351" s="6" t="s">
        <v>83</v>
      </c>
      <c r="C1351" s="6" t="s">
        <v>84</v>
      </c>
      <c r="D1351" s="6" t="s">
        <v>54</v>
      </c>
    </row>
    <row r="1352" spans="1:4" x14ac:dyDescent="0.25">
      <c r="A1352" t="str">
        <f ca="1">_xll.BDH("NPIMINM Index","PX_LAST","02/01/2016",TODAY(),"Per=M")</f>
        <v>#N/A Invalid Security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3030"/>
  </sheetPr>
  <dimension ref="A1:D1472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85</v>
      </c>
      <c r="B1" s="6" t="s">
        <v>86</v>
      </c>
      <c r="C1" s="6" t="s">
        <v>87</v>
      </c>
      <c r="D1" s="6" t="s">
        <v>54</v>
      </c>
    </row>
    <row r="2" spans="1:4" x14ac:dyDescent="0.25">
      <c r="A2" s="8">
        <f ca="1">_xll.BDH("CNFREXPY Index","PX_LAST","02/01/2016",TODAY(),"Per=M","cols=2;rows=120")</f>
        <v>42400</v>
      </c>
      <c r="B2">
        <v>-15.2</v>
      </c>
    </row>
    <row r="3" spans="1:4" x14ac:dyDescent="0.25">
      <c r="A3" s="8">
        <v>42429</v>
      </c>
      <c r="B3">
        <v>-28</v>
      </c>
    </row>
    <row r="4" spans="1:4" x14ac:dyDescent="0.25">
      <c r="A4" s="8">
        <v>42460</v>
      </c>
      <c r="B4">
        <v>7.5</v>
      </c>
    </row>
    <row r="5" spans="1:4" x14ac:dyDescent="0.25">
      <c r="A5" s="8">
        <v>42490</v>
      </c>
      <c r="B5">
        <v>-5.3</v>
      </c>
    </row>
    <row r="6" spans="1:4" x14ac:dyDescent="0.25">
      <c r="A6" s="8">
        <v>42521</v>
      </c>
      <c r="B6">
        <v>-6.9</v>
      </c>
    </row>
    <row r="7" spans="1:4" x14ac:dyDescent="0.25">
      <c r="A7" s="8">
        <v>42551</v>
      </c>
      <c r="B7">
        <v>-6.8</v>
      </c>
    </row>
    <row r="8" spans="1:4" x14ac:dyDescent="0.25">
      <c r="A8" s="8">
        <v>42582</v>
      </c>
      <c r="B8">
        <v>-6.5</v>
      </c>
    </row>
    <row r="9" spans="1:4" x14ac:dyDescent="0.25">
      <c r="A9" s="8">
        <v>42613</v>
      </c>
      <c r="B9">
        <v>-3.8</v>
      </c>
    </row>
    <row r="10" spans="1:4" x14ac:dyDescent="0.25">
      <c r="A10" s="8">
        <v>42643</v>
      </c>
      <c r="B10">
        <v>-10.4</v>
      </c>
    </row>
    <row r="11" spans="1:4" x14ac:dyDescent="0.25">
      <c r="A11" s="8">
        <v>42674</v>
      </c>
      <c r="B11">
        <v>-7.9</v>
      </c>
    </row>
    <row r="12" spans="1:4" x14ac:dyDescent="0.25">
      <c r="A12" s="8">
        <v>42704</v>
      </c>
      <c r="B12">
        <v>-1.5</v>
      </c>
    </row>
    <row r="13" spans="1:4" x14ac:dyDescent="0.25">
      <c r="A13" s="8">
        <v>42735</v>
      </c>
      <c r="B13">
        <v>-6.2</v>
      </c>
    </row>
    <row r="14" spans="1:4" x14ac:dyDescent="0.25">
      <c r="A14" s="8">
        <v>42766</v>
      </c>
      <c r="B14">
        <v>6.6</v>
      </c>
    </row>
    <row r="15" spans="1:4" x14ac:dyDescent="0.25">
      <c r="A15" s="8">
        <v>42794</v>
      </c>
      <c r="B15">
        <v>-2.4</v>
      </c>
    </row>
    <row r="16" spans="1:4" x14ac:dyDescent="0.25">
      <c r="A16" s="8">
        <v>42825</v>
      </c>
      <c r="B16">
        <v>15.4</v>
      </c>
    </row>
    <row r="17" spans="1:2" x14ac:dyDescent="0.25">
      <c r="A17" s="8">
        <v>42855</v>
      </c>
      <c r="B17">
        <v>6.5</v>
      </c>
    </row>
    <row r="18" spans="1:2" x14ac:dyDescent="0.25">
      <c r="A18" s="8">
        <v>42886</v>
      </c>
      <c r="B18">
        <v>7.6</v>
      </c>
    </row>
    <row r="19" spans="1:2" x14ac:dyDescent="0.25">
      <c r="A19" s="8">
        <v>42916</v>
      </c>
      <c r="B19">
        <v>10.3</v>
      </c>
    </row>
    <row r="20" spans="1:2" x14ac:dyDescent="0.25">
      <c r="A20" s="8">
        <v>42947</v>
      </c>
      <c r="B20">
        <v>6.4</v>
      </c>
    </row>
    <row r="21" spans="1:2" x14ac:dyDescent="0.25">
      <c r="A21" s="8">
        <v>42978</v>
      </c>
      <c r="B21">
        <v>4.9000000000000004</v>
      </c>
    </row>
    <row r="22" spans="1:2" x14ac:dyDescent="0.25">
      <c r="A22" s="8">
        <v>43008</v>
      </c>
      <c r="B22">
        <v>7.9</v>
      </c>
    </row>
    <row r="23" spans="1:2" x14ac:dyDescent="0.25">
      <c r="A23" s="8">
        <v>43039</v>
      </c>
      <c r="B23">
        <v>6.3</v>
      </c>
    </row>
    <row r="24" spans="1:2" x14ac:dyDescent="0.25">
      <c r="A24" s="8">
        <v>43069</v>
      </c>
      <c r="B24">
        <v>11.5</v>
      </c>
    </row>
    <row r="25" spans="1:2" x14ac:dyDescent="0.25">
      <c r="A25" s="8">
        <v>43100</v>
      </c>
      <c r="B25">
        <v>10.9</v>
      </c>
    </row>
    <row r="26" spans="1:2" x14ac:dyDescent="0.25">
      <c r="A26" s="8">
        <v>43131</v>
      </c>
      <c r="B26">
        <v>10.7</v>
      </c>
    </row>
    <row r="27" spans="1:2" x14ac:dyDescent="0.25">
      <c r="A27" s="8">
        <v>43159</v>
      </c>
      <c r="B27">
        <v>43.6</v>
      </c>
    </row>
    <row r="28" spans="1:2" x14ac:dyDescent="0.25">
      <c r="A28" s="8">
        <v>43190</v>
      </c>
      <c r="B28">
        <v>-3</v>
      </c>
    </row>
    <row r="29" spans="1:2" x14ac:dyDescent="0.25">
      <c r="A29" s="8">
        <v>43220</v>
      </c>
      <c r="B29">
        <v>11.9</v>
      </c>
    </row>
    <row r="30" spans="1:2" x14ac:dyDescent="0.25">
      <c r="A30" s="8">
        <v>43251</v>
      </c>
      <c r="B30">
        <v>11.9</v>
      </c>
    </row>
    <row r="31" spans="1:2" x14ac:dyDescent="0.25">
      <c r="A31" s="8">
        <v>43281</v>
      </c>
      <c r="B31">
        <v>10.7</v>
      </c>
    </row>
    <row r="32" spans="1:2" x14ac:dyDescent="0.25">
      <c r="A32" s="8">
        <v>43312</v>
      </c>
      <c r="B32">
        <v>11.6</v>
      </c>
    </row>
    <row r="33" spans="1:2" x14ac:dyDescent="0.25">
      <c r="A33" s="8">
        <v>43343</v>
      </c>
      <c r="B33">
        <v>9.6</v>
      </c>
    </row>
    <row r="34" spans="1:2" x14ac:dyDescent="0.25">
      <c r="A34" s="8">
        <v>43373</v>
      </c>
      <c r="B34">
        <v>13.9</v>
      </c>
    </row>
    <row r="35" spans="1:2" x14ac:dyDescent="0.25">
      <c r="A35" s="8">
        <v>43404</v>
      </c>
      <c r="B35">
        <v>14.3</v>
      </c>
    </row>
    <row r="36" spans="1:2" x14ac:dyDescent="0.25">
      <c r="A36" s="8">
        <v>43434</v>
      </c>
      <c r="B36">
        <v>3.9</v>
      </c>
    </row>
    <row r="37" spans="1:2" x14ac:dyDescent="0.25">
      <c r="A37" s="8">
        <v>43465</v>
      </c>
      <c r="B37">
        <v>-4.4000000000000004</v>
      </c>
    </row>
    <row r="38" spans="1:2" x14ac:dyDescent="0.25">
      <c r="A38" s="8">
        <v>43496</v>
      </c>
      <c r="B38">
        <v>9.3000000000000007</v>
      </c>
    </row>
    <row r="39" spans="1:2" x14ac:dyDescent="0.25">
      <c r="A39" s="8">
        <v>43524</v>
      </c>
      <c r="B39">
        <v>-20.7</v>
      </c>
    </row>
    <row r="40" spans="1:2" x14ac:dyDescent="0.25">
      <c r="A40" s="8">
        <v>43555</v>
      </c>
      <c r="B40">
        <v>14</v>
      </c>
    </row>
    <row r="41" spans="1:2" x14ac:dyDescent="0.25">
      <c r="A41" s="8">
        <v>43585</v>
      </c>
      <c r="B41">
        <v>-2.7</v>
      </c>
    </row>
    <row r="42" spans="1:2" x14ac:dyDescent="0.25">
      <c r="A42" s="8">
        <v>43616</v>
      </c>
      <c r="B42">
        <v>1.1000000000000001</v>
      </c>
    </row>
    <row r="43" spans="1:2" x14ac:dyDescent="0.25">
      <c r="A43" s="8">
        <v>43646</v>
      </c>
      <c r="B43">
        <v>-1.5</v>
      </c>
    </row>
    <row r="44" spans="1:2" x14ac:dyDescent="0.25">
      <c r="A44" s="8">
        <v>43677</v>
      </c>
      <c r="B44">
        <v>3.4</v>
      </c>
    </row>
    <row r="45" spans="1:2" x14ac:dyDescent="0.25">
      <c r="A45" s="8">
        <v>43708</v>
      </c>
      <c r="B45">
        <v>-1</v>
      </c>
    </row>
    <row r="46" spans="1:2" x14ac:dyDescent="0.25">
      <c r="A46" s="8">
        <v>43738</v>
      </c>
      <c r="B46">
        <v>-3.2</v>
      </c>
    </row>
    <row r="47" spans="1:2" x14ac:dyDescent="0.25">
      <c r="A47" s="8">
        <v>43769</v>
      </c>
      <c r="B47">
        <v>-0.8</v>
      </c>
    </row>
    <row r="48" spans="1:2" x14ac:dyDescent="0.25">
      <c r="A48" s="8">
        <v>43799</v>
      </c>
      <c r="B48">
        <v>-1.3</v>
      </c>
    </row>
    <row r="49" spans="1:2" x14ac:dyDescent="0.25">
      <c r="A49" s="8">
        <v>43830</v>
      </c>
      <c r="B49">
        <v>7.9</v>
      </c>
    </row>
    <row r="50" spans="1:2" x14ac:dyDescent="0.25">
      <c r="A50" s="8">
        <v>43861</v>
      </c>
      <c r="B50">
        <v>-2.9</v>
      </c>
    </row>
    <row r="51" spans="1:2" x14ac:dyDescent="0.25">
      <c r="A51" s="8">
        <v>43890</v>
      </c>
      <c r="B51">
        <v>-40.6</v>
      </c>
    </row>
    <row r="52" spans="1:2" x14ac:dyDescent="0.25">
      <c r="A52" s="8">
        <v>43921</v>
      </c>
      <c r="B52">
        <v>-6.9</v>
      </c>
    </row>
    <row r="53" spans="1:2" x14ac:dyDescent="0.25">
      <c r="A53" s="8">
        <v>43951</v>
      </c>
      <c r="B53">
        <v>3.1</v>
      </c>
    </row>
    <row r="54" spans="1:2" x14ac:dyDescent="0.25">
      <c r="A54" s="8">
        <v>43982</v>
      </c>
      <c r="B54">
        <v>-3.5</v>
      </c>
    </row>
    <row r="55" spans="1:2" x14ac:dyDescent="0.25">
      <c r="A55" s="8">
        <v>44012</v>
      </c>
      <c r="B55">
        <v>0.2</v>
      </c>
    </row>
    <row r="56" spans="1:2" x14ac:dyDescent="0.25">
      <c r="A56" s="8">
        <v>44043</v>
      </c>
      <c r="B56">
        <v>6.8</v>
      </c>
    </row>
    <row r="57" spans="1:2" x14ac:dyDescent="0.25">
      <c r="A57" s="8">
        <v>44074</v>
      </c>
      <c r="B57">
        <v>9.1</v>
      </c>
    </row>
    <row r="58" spans="1:2" x14ac:dyDescent="0.25">
      <c r="A58" s="8">
        <v>44104</v>
      </c>
      <c r="B58">
        <v>9.4</v>
      </c>
    </row>
    <row r="59" spans="1:2" x14ac:dyDescent="0.25">
      <c r="A59" s="8">
        <v>44135</v>
      </c>
      <c r="B59">
        <v>10.9</v>
      </c>
    </row>
    <row r="60" spans="1:2" x14ac:dyDescent="0.25">
      <c r="A60" s="8">
        <v>44165</v>
      </c>
      <c r="B60">
        <v>20.6</v>
      </c>
    </row>
    <row r="61" spans="1:2" x14ac:dyDescent="0.25">
      <c r="A61" s="8">
        <v>44196</v>
      </c>
      <c r="B61">
        <v>18.100000000000001</v>
      </c>
    </row>
    <row r="62" spans="1:2" x14ac:dyDescent="0.25">
      <c r="A62" s="8">
        <v>44227</v>
      </c>
      <c r="B62">
        <v>24.6</v>
      </c>
    </row>
    <row r="63" spans="1:2" x14ac:dyDescent="0.25">
      <c r="A63" s="8">
        <v>44255</v>
      </c>
      <c r="B63">
        <v>154.6</v>
      </c>
    </row>
    <row r="64" spans="1:2" x14ac:dyDescent="0.25">
      <c r="A64" s="8">
        <v>44286</v>
      </c>
      <c r="B64">
        <v>30.4</v>
      </c>
    </row>
    <row r="65" spans="1:2" x14ac:dyDescent="0.25">
      <c r="A65" s="8">
        <v>44316</v>
      </c>
      <c r="B65">
        <v>32.1</v>
      </c>
    </row>
    <row r="66" spans="1:2" x14ac:dyDescent="0.25">
      <c r="A66" s="8">
        <v>44347</v>
      </c>
      <c r="B66">
        <v>27.7</v>
      </c>
    </row>
    <row r="67" spans="1:2" x14ac:dyDescent="0.25">
      <c r="A67" s="8">
        <v>44377</v>
      </c>
      <c r="B67">
        <v>32.1</v>
      </c>
    </row>
    <row r="68" spans="1:2" x14ac:dyDescent="0.25">
      <c r="A68" s="8">
        <v>44408</v>
      </c>
      <c r="B68">
        <v>19.2</v>
      </c>
    </row>
    <row r="69" spans="1:2" x14ac:dyDescent="0.25">
      <c r="A69" s="8">
        <v>44439</v>
      </c>
      <c r="B69">
        <v>25.4</v>
      </c>
    </row>
    <row r="70" spans="1:2" x14ac:dyDescent="0.25">
      <c r="A70" s="8">
        <v>44469</v>
      </c>
      <c r="B70">
        <v>28</v>
      </c>
    </row>
    <row r="71" spans="1:2" x14ac:dyDescent="0.25">
      <c r="A71" s="8">
        <v>44500</v>
      </c>
      <c r="B71">
        <v>26.9</v>
      </c>
    </row>
    <row r="72" spans="1:2" x14ac:dyDescent="0.25">
      <c r="A72" s="8">
        <v>44530</v>
      </c>
      <c r="B72">
        <v>21.7</v>
      </c>
    </row>
    <row r="73" spans="1:2" x14ac:dyDescent="0.25">
      <c r="A73" s="8">
        <v>44561</v>
      </c>
      <c r="B73">
        <v>20.9</v>
      </c>
    </row>
    <row r="74" spans="1:2" x14ac:dyDescent="0.25">
      <c r="A74" s="8">
        <v>44592</v>
      </c>
      <c r="B74">
        <v>24</v>
      </c>
    </row>
    <row r="75" spans="1:2" x14ac:dyDescent="0.25">
      <c r="A75" s="8">
        <v>44620</v>
      </c>
      <c r="B75">
        <v>6</v>
      </c>
    </row>
    <row r="76" spans="1:2" x14ac:dyDescent="0.25">
      <c r="A76" s="8">
        <v>44651</v>
      </c>
      <c r="B76">
        <v>14.3</v>
      </c>
    </row>
    <row r="77" spans="1:2" x14ac:dyDescent="0.25">
      <c r="A77" s="8">
        <v>44681</v>
      </c>
      <c r="B77">
        <v>3.5</v>
      </c>
    </row>
    <row r="78" spans="1:2" x14ac:dyDescent="0.25">
      <c r="A78" s="8">
        <v>44712</v>
      </c>
      <c r="B78">
        <v>16.399999999999999</v>
      </c>
    </row>
    <row r="79" spans="1:2" x14ac:dyDescent="0.25">
      <c r="A79" s="8">
        <v>44742</v>
      </c>
      <c r="B79">
        <v>17.100000000000001</v>
      </c>
    </row>
    <row r="80" spans="1:2" x14ac:dyDescent="0.25">
      <c r="A80" s="8">
        <v>44773</v>
      </c>
      <c r="B80">
        <v>18.100000000000001</v>
      </c>
    </row>
    <row r="81" spans="1:2" x14ac:dyDescent="0.25">
      <c r="A81" s="8">
        <v>44804</v>
      </c>
      <c r="B81">
        <v>7.4</v>
      </c>
    </row>
    <row r="82" spans="1:2" x14ac:dyDescent="0.25">
      <c r="A82" s="8">
        <v>44834</v>
      </c>
      <c r="B82">
        <v>5.6</v>
      </c>
    </row>
    <row r="83" spans="1:2" x14ac:dyDescent="0.25">
      <c r="A83" s="8">
        <v>44865</v>
      </c>
      <c r="B83">
        <v>-0.3</v>
      </c>
    </row>
    <row r="84" spans="1:2" x14ac:dyDescent="0.25">
      <c r="A84" s="8">
        <v>44895</v>
      </c>
      <c r="B84">
        <v>-9</v>
      </c>
    </row>
    <row r="85" spans="1:2" x14ac:dyDescent="0.25">
      <c r="A85" s="8">
        <v>44926</v>
      </c>
      <c r="B85">
        <v>-9.9</v>
      </c>
    </row>
    <row r="86" spans="1:2" x14ac:dyDescent="0.25">
      <c r="A86" s="8">
        <v>44957</v>
      </c>
      <c r="B86">
        <v>-12</v>
      </c>
    </row>
    <row r="87" spans="1:2" x14ac:dyDescent="0.25">
      <c r="A87" s="8">
        <v>44985</v>
      </c>
      <c r="B87">
        <v>-2.8</v>
      </c>
    </row>
    <row r="88" spans="1:2" x14ac:dyDescent="0.25">
      <c r="A88" s="8">
        <v>45016</v>
      </c>
      <c r="B88">
        <v>10.9</v>
      </c>
    </row>
    <row r="89" spans="1:2" x14ac:dyDescent="0.25">
      <c r="A89" s="8">
        <v>45046</v>
      </c>
      <c r="B89">
        <v>7.1</v>
      </c>
    </row>
    <row r="90" spans="1:2" x14ac:dyDescent="0.25">
      <c r="A90" s="8">
        <v>45077</v>
      </c>
      <c r="B90">
        <v>-7.6</v>
      </c>
    </row>
    <row r="91" spans="1:2" x14ac:dyDescent="0.25">
      <c r="A91" s="8">
        <v>45107</v>
      </c>
      <c r="B91">
        <v>-12.4</v>
      </c>
    </row>
    <row r="92" spans="1:2" x14ac:dyDescent="0.25">
      <c r="A92" s="8">
        <v>45138</v>
      </c>
      <c r="B92">
        <v>-14.2</v>
      </c>
    </row>
    <row r="93" spans="1:2" x14ac:dyDescent="0.25">
      <c r="A93" s="8">
        <v>45169</v>
      </c>
      <c r="B93">
        <v>-8.5</v>
      </c>
    </row>
    <row r="94" spans="1:2" x14ac:dyDescent="0.25">
      <c r="A94" s="8">
        <v>45199</v>
      </c>
      <c r="B94">
        <v>-6.8</v>
      </c>
    </row>
    <row r="95" spans="1:2" x14ac:dyDescent="0.25">
      <c r="A95" s="8">
        <v>45230</v>
      </c>
      <c r="B95">
        <v>-6.6</v>
      </c>
    </row>
    <row r="96" spans="1:2" x14ac:dyDescent="0.25">
      <c r="A96" s="8">
        <v>45260</v>
      </c>
      <c r="B96">
        <v>0.7</v>
      </c>
    </row>
    <row r="97" spans="1:2" x14ac:dyDescent="0.25">
      <c r="A97" s="8">
        <v>45291</v>
      </c>
      <c r="B97">
        <v>2.2999999999999998</v>
      </c>
    </row>
    <row r="98" spans="1:2" x14ac:dyDescent="0.25">
      <c r="A98" s="8">
        <v>45322</v>
      </c>
      <c r="B98">
        <v>7.7</v>
      </c>
    </row>
    <row r="99" spans="1:2" x14ac:dyDescent="0.25">
      <c r="A99" s="8">
        <v>45351</v>
      </c>
      <c r="B99">
        <v>6.2</v>
      </c>
    </row>
    <row r="100" spans="1:2" x14ac:dyDescent="0.25">
      <c r="A100" s="8">
        <v>45382</v>
      </c>
      <c r="B100">
        <v>-7.7</v>
      </c>
    </row>
    <row r="101" spans="1:2" x14ac:dyDescent="0.25">
      <c r="A101" s="8">
        <v>45412</v>
      </c>
      <c r="B101">
        <v>1.3</v>
      </c>
    </row>
    <row r="102" spans="1:2" x14ac:dyDescent="0.25">
      <c r="A102" s="8">
        <v>45443</v>
      </c>
      <c r="B102">
        <v>7.4</v>
      </c>
    </row>
    <row r="103" spans="1:2" x14ac:dyDescent="0.25">
      <c r="A103" s="8">
        <v>45473</v>
      </c>
      <c r="B103">
        <v>8.4</v>
      </c>
    </row>
    <row r="104" spans="1:2" x14ac:dyDescent="0.25">
      <c r="A104" s="8">
        <v>45504</v>
      </c>
      <c r="B104">
        <v>6.9</v>
      </c>
    </row>
    <row r="105" spans="1:2" x14ac:dyDescent="0.25">
      <c r="A105" s="8">
        <v>45535</v>
      </c>
      <c r="B105">
        <v>8.6</v>
      </c>
    </row>
    <row r="106" spans="1:2" x14ac:dyDescent="0.25">
      <c r="A106" s="8">
        <v>45565</v>
      </c>
      <c r="B106">
        <v>2.2999999999999998</v>
      </c>
    </row>
    <row r="107" spans="1:2" x14ac:dyDescent="0.25">
      <c r="A107" s="8">
        <v>45596</v>
      </c>
      <c r="B107">
        <v>12.6</v>
      </c>
    </row>
    <row r="108" spans="1:2" x14ac:dyDescent="0.25">
      <c r="A108" s="8">
        <v>45626</v>
      </c>
      <c r="B108">
        <v>6.6</v>
      </c>
    </row>
    <row r="109" spans="1:2" x14ac:dyDescent="0.25">
      <c r="A109" s="8">
        <v>45657</v>
      </c>
      <c r="B109">
        <v>10.7</v>
      </c>
    </row>
    <row r="110" spans="1:2" x14ac:dyDescent="0.25">
      <c r="A110" s="8">
        <v>45688</v>
      </c>
      <c r="B110">
        <v>5.9</v>
      </c>
    </row>
    <row r="111" spans="1:2" x14ac:dyDescent="0.25">
      <c r="A111" s="8">
        <v>45716</v>
      </c>
      <c r="B111">
        <v>-3.1</v>
      </c>
    </row>
    <row r="112" spans="1:2" x14ac:dyDescent="0.25">
      <c r="A112" s="8">
        <v>45747</v>
      </c>
      <c r="B112">
        <v>12.2</v>
      </c>
    </row>
    <row r="113" spans="1:2" x14ac:dyDescent="0.25">
      <c r="A113" s="8">
        <v>45777</v>
      </c>
      <c r="B113">
        <v>8</v>
      </c>
    </row>
    <row r="114" spans="1:2" x14ac:dyDescent="0.25">
      <c r="A114" s="8">
        <v>45808</v>
      </c>
      <c r="B114">
        <v>4.5999999999999996</v>
      </c>
    </row>
    <row r="115" spans="1:2" x14ac:dyDescent="0.25">
      <c r="A115" s="8">
        <v>45838</v>
      </c>
      <c r="B115">
        <v>5.8</v>
      </c>
    </row>
    <row r="116" spans="1:2" x14ac:dyDescent="0.25">
      <c r="A116" s="8">
        <v>45869</v>
      </c>
      <c r="B116">
        <v>7.1</v>
      </c>
    </row>
    <row r="117" spans="1:2" x14ac:dyDescent="0.25">
      <c r="A117" s="8">
        <v>45900</v>
      </c>
      <c r="B117">
        <v>4.3</v>
      </c>
    </row>
    <row r="118" spans="1:2" x14ac:dyDescent="0.25">
      <c r="A118" s="8">
        <v>45930</v>
      </c>
      <c r="B118">
        <v>8.1999999999999993</v>
      </c>
    </row>
    <row r="119" spans="1:2" x14ac:dyDescent="0.25">
      <c r="A119" s="8">
        <v>45961</v>
      </c>
      <c r="B119">
        <v>-1.2</v>
      </c>
    </row>
    <row r="120" spans="1:2" x14ac:dyDescent="0.25">
      <c r="A120" s="8">
        <v>45991</v>
      </c>
      <c r="B120">
        <v>5.9</v>
      </c>
    </row>
    <row r="121" spans="1:2" x14ac:dyDescent="0.25">
      <c r="A121" s="8">
        <v>46022</v>
      </c>
      <c r="B121">
        <v>6.6</v>
      </c>
    </row>
    <row r="136" spans="1:4" x14ac:dyDescent="0.25">
      <c r="A136" s="6" t="s">
        <v>88</v>
      </c>
      <c r="B136" s="6" t="s">
        <v>89</v>
      </c>
      <c r="C136" s="6" t="s">
        <v>90</v>
      </c>
      <c r="D136" s="6" t="s">
        <v>54</v>
      </c>
    </row>
    <row r="137" spans="1:4" x14ac:dyDescent="0.25">
      <c r="A137" s="8">
        <f ca="1">_xll.BDH("CNFRIMPY Index","PX_LAST","02/01/2016",TODAY(),"Per=M","cols=2;rows=120")</f>
        <v>42400</v>
      </c>
      <c r="B137">
        <v>-19.899999999999999</v>
      </c>
    </row>
    <row r="138" spans="1:4" x14ac:dyDescent="0.25">
      <c r="A138" s="8">
        <v>42429</v>
      </c>
      <c r="B138">
        <v>-13.7</v>
      </c>
    </row>
    <row r="139" spans="1:4" x14ac:dyDescent="0.25">
      <c r="A139" s="8">
        <v>42460</v>
      </c>
      <c r="B139">
        <v>-8.1</v>
      </c>
    </row>
    <row r="140" spans="1:4" x14ac:dyDescent="0.25">
      <c r="A140" s="8">
        <v>42490</v>
      </c>
      <c r="B140">
        <v>-11.1</v>
      </c>
    </row>
    <row r="141" spans="1:4" x14ac:dyDescent="0.25">
      <c r="A141" s="8">
        <v>42521</v>
      </c>
      <c r="B141">
        <v>-0.5</v>
      </c>
    </row>
    <row r="142" spans="1:4" x14ac:dyDescent="0.25">
      <c r="A142" s="8">
        <v>42551</v>
      </c>
      <c r="B142">
        <v>-9</v>
      </c>
    </row>
    <row r="143" spans="1:4" x14ac:dyDescent="0.25">
      <c r="A143" s="8">
        <v>42582</v>
      </c>
      <c r="B143">
        <v>-12.5</v>
      </c>
    </row>
    <row r="144" spans="1:4" x14ac:dyDescent="0.25">
      <c r="A144" s="8">
        <v>42613</v>
      </c>
      <c r="B144">
        <v>1.7</v>
      </c>
    </row>
    <row r="145" spans="1:2" x14ac:dyDescent="0.25">
      <c r="A145" s="8">
        <v>42643</v>
      </c>
      <c r="B145">
        <v>-1.6</v>
      </c>
    </row>
    <row r="146" spans="1:2" x14ac:dyDescent="0.25">
      <c r="A146" s="8">
        <v>42674</v>
      </c>
      <c r="B146">
        <v>-1.6</v>
      </c>
    </row>
    <row r="147" spans="1:2" x14ac:dyDescent="0.25">
      <c r="A147" s="8">
        <v>42704</v>
      </c>
      <c r="B147">
        <v>5.5</v>
      </c>
    </row>
    <row r="148" spans="1:2" x14ac:dyDescent="0.25">
      <c r="A148" s="8">
        <v>42735</v>
      </c>
      <c r="B148">
        <v>3.1</v>
      </c>
    </row>
    <row r="149" spans="1:2" x14ac:dyDescent="0.25">
      <c r="A149" s="8">
        <v>42766</v>
      </c>
      <c r="B149">
        <v>17</v>
      </c>
    </row>
    <row r="150" spans="1:2" x14ac:dyDescent="0.25">
      <c r="A150" s="8">
        <v>42794</v>
      </c>
      <c r="B150">
        <v>38.700000000000003</v>
      </c>
    </row>
    <row r="151" spans="1:2" x14ac:dyDescent="0.25">
      <c r="A151" s="8">
        <v>42825</v>
      </c>
      <c r="B151">
        <v>20.2</v>
      </c>
    </row>
    <row r="152" spans="1:2" x14ac:dyDescent="0.25">
      <c r="A152" s="8">
        <v>42855</v>
      </c>
      <c r="B152">
        <v>11.4</v>
      </c>
    </row>
    <row r="153" spans="1:2" x14ac:dyDescent="0.25">
      <c r="A153" s="8">
        <v>42886</v>
      </c>
      <c r="B153">
        <v>14</v>
      </c>
    </row>
    <row r="154" spans="1:2" x14ac:dyDescent="0.25">
      <c r="A154" s="8">
        <v>42916</v>
      </c>
      <c r="B154">
        <v>16.899999999999999</v>
      </c>
    </row>
    <row r="155" spans="1:2" x14ac:dyDescent="0.25">
      <c r="A155" s="8">
        <v>42947</v>
      </c>
      <c r="B155">
        <v>11.1</v>
      </c>
    </row>
    <row r="156" spans="1:2" x14ac:dyDescent="0.25">
      <c r="A156" s="8">
        <v>42978</v>
      </c>
      <c r="B156">
        <v>13.4</v>
      </c>
    </row>
    <row r="157" spans="1:2" x14ac:dyDescent="0.25">
      <c r="A157" s="8">
        <v>43008</v>
      </c>
      <c r="B157">
        <v>18.8</v>
      </c>
    </row>
    <row r="158" spans="1:2" x14ac:dyDescent="0.25">
      <c r="A158" s="8">
        <v>43039</v>
      </c>
      <c r="B158">
        <v>17.100000000000001</v>
      </c>
    </row>
    <row r="159" spans="1:2" x14ac:dyDescent="0.25">
      <c r="A159" s="8">
        <v>43069</v>
      </c>
      <c r="B159">
        <v>17.600000000000001</v>
      </c>
    </row>
    <row r="160" spans="1:2" x14ac:dyDescent="0.25">
      <c r="A160" s="8">
        <v>43100</v>
      </c>
      <c r="B160">
        <v>4.5</v>
      </c>
    </row>
    <row r="161" spans="1:2" x14ac:dyDescent="0.25">
      <c r="A161" s="8">
        <v>43131</v>
      </c>
      <c r="B161">
        <v>37.6</v>
      </c>
    </row>
    <row r="162" spans="1:2" x14ac:dyDescent="0.25">
      <c r="A162" s="8">
        <v>43159</v>
      </c>
      <c r="B162">
        <v>6.6</v>
      </c>
    </row>
    <row r="163" spans="1:2" x14ac:dyDescent="0.25">
      <c r="A163" s="8">
        <v>43190</v>
      </c>
      <c r="B163">
        <v>14.8</v>
      </c>
    </row>
    <row r="164" spans="1:2" x14ac:dyDescent="0.25">
      <c r="A164" s="8">
        <v>43220</v>
      </c>
      <c r="B164">
        <v>22.2</v>
      </c>
    </row>
    <row r="165" spans="1:2" x14ac:dyDescent="0.25">
      <c r="A165" s="8">
        <v>43251</v>
      </c>
      <c r="B165">
        <v>26.2</v>
      </c>
    </row>
    <row r="166" spans="1:2" x14ac:dyDescent="0.25">
      <c r="A166" s="8">
        <v>43281</v>
      </c>
      <c r="B166">
        <v>13.8</v>
      </c>
    </row>
    <row r="167" spans="1:2" x14ac:dyDescent="0.25">
      <c r="A167" s="8">
        <v>43312</v>
      </c>
      <c r="B167">
        <v>27</v>
      </c>
    </row>
    <row r="168" spans="1:2" x14ac:dyDescent="0.25">
      <c r="A168" s="8">
        <v>43343</v>
      </c>
      <c r="B168">
        <v>20.7</v>
      </c>
    </row>
    <row r="169" spans="1:2" x14ac:dyDescent="0.25">
      <c r="A169" s="8">
        <v>43373</v>
      </c>
      <c r="B169">
        <v>14.3</v>
      </c>
    </row>
    <row r="170" spans="1:2" x14ac:dyDescent="0.25">
      <c r="A170" s="8">
        <v>43404</v>
      </c>
      <c r="B170">
        <v>20.3</v>
      </c>
    </row>
    <row r="171" spans="1:2" x14ac:dyDescent="0.25">
      <c r="A171" s="8">
        <v>43434</v>
      </c>
      <c r="B171">
        <v>2.9</v>
      </c>
    </row>
    <row r="172" spans="1:2" x14ac:dyDescent="0.25">
      <c r="A172" s="8">
        <v>43465</v>
      </c>
      <c r="B172">
        <v>-7.6</v>
      </c>
    </row>
    <row r="173" spans="1:2" x14ac:dyDescent="0.25">
      <c r="A173" s="8">
        <v>43496</v>
      </c>
      <c r="B173">
        <v>-0.9</v>
      </c>
    </row>
    <row r="174" spans="1:2" x14ac:dyDescent="0.25">
      <c r="A174" s="8">
        <v>43524</v>
      </c>
      <c r="B174">
        <v>-4.4000000000000004</v>
      </c>
    </row>
    <row r="175" spans="1:2" x14ac:dyDescent="0.25">
      <c r="A175" s="8">
        <v>43555</v>
      </c>
      <c r="B175">
        <v>-7.2</v>
      </c>
    </row>
    <row r="176" spans="1:2" x14ac:dyDescent="0.25">
      <c r="A176" s="8">
        <v>43585</v>
      </c>
      <c r="B176">
        <v>4.5</v>
      </c>
    </row>
    <row r="177" spans="1:2" x14ac:dyDescent="0.25">
      <c r="A177" s="8">
        <v>43616</v>
      </c>
      <c r="B177">
        <v>-8.1999999999999993</v>
      </c>
    </row>
    <row r="178" spans="1:2" x14ac:dyDescent="0.25">
      <c r="A178" s="8">
        <v>43646</v>
      </c>
      <c r="B178">
        <v>-6.8</v>
      </c>
    </row>
    <row r="179" spans="1:2" x14ac:dyDescent="0.25">
      <c r="A179" s="8">
        <v>43677</v>
      </c>
      <c r="B179">
        <v>-4.9000000000000004</v>
      </c>
    </row>
    <row r="180" spans="1:2" x14ac:dyDescent="0.25">
      <c r="A180" s="8">
        <v>43708</v>
      </c>
      <c r="B180">
        <v>-5.5</v>
      </c>
    </row>
    <row r="181" spans="1:2" x14ac:dyDescent="0.25">
      <c r="A181" s="8">
        <v>43738</v>
      </c>
      <c r="B181">
        <v>-8.1999999999999993</v>
      </c>
    </row>
    <row r="182" spans="1:2" x14ac:dyDescent="0.25">
      <c r="A182" s="8">
        <v>43769</v>
      </c>
      <c r="B182">
        <v>-6.2</v>
      </c>
    </row>
    <row r="183" spans="1:2" x14ac:dyDescent="0.25">
      <c r="A183" s="8">
        <v>43799</v>
      </c>
      <c r="B183">
        <v>0.8</v>
      </c>
    </row>
    <row r="184" spans="1:2" x14ac:dyDescent="0.25">
      <c r="A184" s="8">
        <v>43830</v>
      </c>
      <c r="B184">
        <v>16.5</v>
      </c>
    </row>
    <row r="185" spans="1:2" x14ac:dyDescent="0.25">
      <c r="A185" s="8">
        <v>43861</v>
      </c>
      <c r="B185">
        <v>-12.7</v>
      </c>
    </row>
    <row r="186" spans="1:2" x14ac:dyDescent="0.25">
      <c r="A186" s="8">
        <v>43890</v>
      </c>
      <c r="B186">
        <v>7.7</v>
      </c>
    </row>
    <row r="187" spans="1:2" x14ac:dyDescent="0.25">
      <c r="A187" s="8">
        <v>43921</v>
      </c>
      <c r="B187">
        <v>-1.3</v>
      </c>
    </row>
    <row r="188" spans="1:2" x14ac:dyDescent="0.25">
      <c r="A188" s="8">
        <v>43951</v>
      </c>
      <c r="B188">
        <v>-14.4</v>
      </c>
    </row>
    <row r="189" spans="1:2" x14ac:dyDescent="0.25">
      <c r="A189" s="8">
        <v>43982</v>
      </c>
      <c r="B189">
        <v>-16.7</v>
      </c>
    </row>
    <row r="190" spans="1:2" x14ac:dyDescent="0.25">
      <c r="A190" s="8">
        <v>44012</v>
      </c>
      <c r="B190">
        <v>2.2999999999999998</v>
      </c>
    </row>
    <row r="191" spans="1:2" x14ac:dyDescent="0.25">
      <c r="A191" s="8">
        <v>44043</v>
      </c>
      <c r="B191">
        <v>-1.6</v>
      </c>
    </row>
    <row r="192" spans="1:2" x14ac:dyDescent="0.25">
      <c r="A192" s="8">
        <v>44074</v>
      </c>
      <c r="B192">
        <v>-2.2999999999999998</v>
      </c>
    </row>
    <row r="193" spans="1:2" x14ac:dyDescent="0.25">
      <c r="A193" s="8">
        <v>44104</v>
      </c>
      <c r="B193">
        <v>12.7</v>
      </c>
    </row>
    <row r="194" spans="1:2" x14ac:dyDescent="0.25">
      <c r="A194" s="8">
        <v>44135</v>
      </c>
      <c r="B194">
        <v>4.4000000000000004</v>
      </c>
    </row>
    <row r="195" spans="1:2" x14ac:dyDescent="0.25">
      <c r="A195" s="8">
        <v>44165</v>
      </c>
      <c r="B195">
        <v>3.9</v>
      </c>
    </row>
    <row r="196" spans="1:2" x14ac:dyDescent="0.25">
      <c r="A196" s="8">
        <v>44196</v>
      </c>
      <c r="B196">
        <v>6.5</v>
      </c>
    </row>
    <row r="197" spans="1:2" x14ac:dyDescent="0.25">
      <c r="A197" s="8">
        <v>44227</v>
      </c>
      <c r="B197">
        <v>28.7</v>
      </c>
    </row>
    <row r="198" spans="1:2" x14ac:dyDescent="0.25">
      <c r="A198" s="8">
        <v>44255</v>
      </c>
      <c r="B198">
        <v>18.899999999999999</v>
      </c>
    </row>
    <row r="199" spans="1:2" x14ac:dyDescent="0.25">
      <c r="A199" s="8">
        <v>44286</v>
      </c>
      <c r="B199">
        <v>39.1</v>
      </c>
    </row>
    <row r="200" spans="1:2" x14ac:dyDescent="0.25">
      <c r="A200" s="8">
        <v>44316</v>
      </c>
      <c r="B200">
        <v>44</v>
      </c>
    </row>
    <row r="201" spans="1:2" x14ac:dyDescent="0.25">
      <c r="A201" s="8">
        <v>44347</v>
      </c>
      <c r="B201">
        <v>52</v>
      </c>
    </row>
    <row r="202" spans="1:2" x14ac:dyDescent="0.25">
      <c r="A202" s="8">
        <v>44377</v>
      </c>
      <c r="B202">
        <v>37.1</v>
      </c>
    </row>
    <row r="203" spans="1:2" x14ac:dyDescent="0.25">
      <c r="A203" s="8">
        <v>44408</v>
      </c>
      <c r="B203">
        <v>28.2</v>
      </c>
    </row>
    <row r="204" spans="1:2" x14ac:dyDescent="0.25">
      <c r="A204" s="8">
        <v>44439</v>
      </c>
      <c r="B204">
        <v>32.700000000000003</v>
      </c>
    </row>
    <row r="205" spans="1:2" x14ac:dyDescent="0.25">
      <c r="A205" s="8">
        <v>44469</v>
      </c>
      <c r="B205">
        <v>17.2</v>
      </c>
    </row>
    <row r="206" spans="1:2" x14ac:dyDescent="0.25">
      <c r="A206" s="8">
        <v>44500</v>
      </c>
      <c r="B206">
        <v>20.399999999999999</v>
      </c>
    </row>
    <row r="207" spans="1:2" x14ac:dyDescent="0.25">
      <c r="A207" s="8">
        <v>44530</v>
      </c>
      <c r="B207">
        <v>31.4</v>
      </c>
    </row>
    <row r="208" spans="1:2" x14ac:dyDescent="0.25">
      <c r="A208" s="8">
        <v>44561</v>
      </c>
      <c r="B208">
        <v>19.5</v>
      </c>
    </row>
    <row r="209" spans="1:2" x14ac:dyDescent="0.25">
      <c r="A209" s="8">
        <v>44592</v>
      </c>
      <c r="B209">
        <v>21</v>
      </c>
    </row>
    <row r="210" spans="1:2" x14ac:dyDescent="0.25">
      <c r="A210" s="8">
        <v>44620</v>
      </c>
      <c r="B210">
        <v>11.7</v>
      </c>
    </row>
    <row r="211" spans="1:2" x14ac:dyDescent="0.25">
      <c r="A211" s="8">
        <v>44651</v>
      </c>
      <c r="B211">
        <v>0.7</v>
      </c>
    </row>
    <row r="212" spans="1:2" x14ac:dyDescent="0.25">
      <c r="A212" s="8">
        <v>44681</v>
      </c>
      <c r="B212">
        <v>0.1</v>
      </c>
    </row>
    <row r="213" spans="1:2" x14ac:dyDescent="0.25">
      <c r="A213" s="8">
        <v>44712</v>
      </c>
      <c r="B213">
        <v>3.5</v>
      </c>
    </row>
    <row r="214" spans="1:2" x14ac:dyDescent="0.25">
      <c r="A214" s="8">
        <v>44742</v>
      </c>
      <c r="B214">
        <v>0</v>
      </c>
    </row>
    <row r="215" spans="1:2" x14ac:dyDescent="0.25">
      <c r="A215" s="8">
        <v>44773</v>
      </c>
      <c r="B215">
        <v>1.6</v>
      </c>
    </row>
    <row r="216" spans="1:2" x14ac:dyDescent="0.25">
      <c r="A216" s="8">
        <v>44804</v>
      </c>
      <c r="B216">
        <v>0</v>
      </c>
    </row>
    <row r="217" spans="1:2" x14ac:dyDescent="0.25">
      <c r="A217" s="8">
        <v>44834</v>
      </c>
      <c r="B217">
        <v>0.2</v>
      </c>
    </row>
    <row r="218" spans="1:2" x14ac:dyDescent="0.25">
      <c r="A218" s="8">
        <v>44865</v>
      </c>
      <c r="B218">
        <v>-0.7</v>
      </c>
    </row>
    <row r="219" spans="1:2" x14ac:dyDescent="0.25">
      <c r="A219" s="8">
        <v>44895</v>
      </c>
      <c r="B219">
        <v>-10.6</v>
      </c>
    </row>
    <row r="220" spans="1:2" x14ac:dyDescent="0.25">
      <c r="A220" s="8">
        <v>44926</v>
      </c>
      <c r="B220">
        <v>-7.5</v>
      </c>
    </row>
    <row r="221" spans="1:2" x14ac:dyDescent="0.25">
      <c r="A221" s="8">
        <v>44957</v>
      </c>
      <c r="B221">
        <v>-21.1</v>
      </c>
    </row>
    <row r="222" spans="1:2" x14ac:dyDescent="0.25">
      <c r="A222" s="8">
        <v>44985</v>
      </c>
      <c r="B222">
        <v>4.2</v>
      </c>
    </row>
    <row r="223" spans="1:2" x14ac:dyDescent="0.25">
      <c r="A223" s="8">
        <v>45016</v>
      </c>
      <c r="B223">
        <v>-2.1</v>
      </c>
    </row>
    <row r="224" spans="1:2" x14ac:dyDescent="0.25">
      <c r="A224" s="8">
        <v>45046</v>
      </c>
      <c r="B224">
        <v>-8.9</v>
      </c>
    </row>
    <row r="225" spans="1:2" x14ac:dyDescent="0.25">
      <c r="A225" s="8">
        <v>45077</v>
      </c>
      <c r="B225">
        <v>-5.3</v>
      </c>
    </row>
    <row r="226" spans="1:2" x14ac:dyDescent="0.25">
      <c r="A226" s="8">
        <v>45107</v>
      </c>
      <c r="B226">
        <v>-7.1</v>
      </c>
    </row>
    <row r="227" spans="1:2" x14ac:dyDescent="0.25">
      <c r="A227" s="8">
        <v>45138</v>
      </c>
      <c r="B227">
        <v>-12.2</v>
      </c>
    </row>
    <row r="228" spans="1:2" x14ac:dyDescent="0.25">
      <c r="A228" s="8">
        <v>45169</v>
      </c>
      <c r="B228">
        <v>-7.2</v>
      </c>
    </row>
    <row r="229" spans="1:2" x14ac:dyDescent="0.25">
      <c r="A229" s="8">
        <v>45199</v>
      </c>
      <c r="B229">
        <v>-6.3</v>
      </c>
    </row>
    <row r="230" spans="1:2" x14ac:dyDescent="0.25">
      <c r="A230" s="8">
        <v>45230</v>
      </c>
      <c r="B230">
        <v>3</v>
      </c>
    </row>
    <row r="231" spans="1:2" x14ac:dyDescent="0.25">
      <c r="A231" s="8">
        <v>45260</v>
      </c>
      <c r="B231">
        <v>-0.6</v>
      </c>
    </row>
    <row r="232" spans="1:2" x14ac:dyDescent="0.25">
      <c r="A232" s="8">
        <v>45291</v>
      </c>
      <c r="B232">
        <v>0.2</v>
      </c>
    </row>
    <row r="233" spans="1:2" x14ac:dyDescent="0.25">
      <c r="A233" s="8">
        <v>45322</v>
      </c>
      <c r="B233">
        <v>15.6</v>
      </c>
    </row>
    <row r="234" spans="1:2" x14ac:dyDescent="0.25">
      <c r="A234" s="8">
        <v>45351</v>
      </c>
      <c r="B234">
        <v>-8</v>
      </c>
    </row>
    <row r="235" spans="1:2" x14ac:dyDescent="0.25">
      <c r="A235" s="8">
        <v>45382</v>
      </c>
      <c r="B235">
        <v>-2.1</v>
      </c>
    </row>
    <row r="236" spans="1:2" x14ac:dyDescent="0.25">
      <c r="A236" s="8">
        <v>45412</v>
      </c>
      <c r="B236">
        <v>8.4</v>
      </c>
    </row>
    <row r="237" spans="1:2" x14ac:dyDescent="0.25">
      <c r="A237" s="8">
        <v>45443</v>
      </c>
      <c r="B237">
        <v>2.1</v>
      </c>
    </row>
    <row r="238" spans="1:2" x14ac:dyDescent="0.25">
      <c r="A238" s="8">
        <v>45473</v>
      </c>
      <c r="B238">
        <v>-2.6</v>
      </c>
    </row>
    <row r="239" spans="1:2" x14ac:dyDescent="0.25">
      <c r="A239" s="8">
        <v>45504</v>
      </c>
      <c r="B239">
        <v>6.7</v>
      </c>
    </row>
    <row r="240" spans="1:2" x14ac:dyDescent="0.25">
      <c r="A240" s="8">
        <v>45535</v>
      </c>
      <c r="B240">
        <v>0.1</v>
      </c>
    </row>
    <row r="241" spans="1:2" x14ac:dyDescent="0.25">
      <c r="A241" s="8">
        <v>45565</v>
      </c>
      <c r="B241">
        <v>0.2</v>
      </c>
    </row>
    <row r="242" spans="1:2" x14ac:dyDescent="0.25">
      <c r="A242" s="8">
        <v>45596</v>
      </c>
      <c r="B242">
        <v>-2.2999999999999998</v>
      </c>
    </row>
    <row r="243" spans="1:2" x14ac:dyDescent="0.25">
      <c r="A243" s="8">
        <v>45626</v>
      </c>
      <c r="B243">
        <v>-4</v>
      </c>
    </row>
    <row r="244" spans="1:2" x14ac:dyDescent="0.25">
      <c r="A244" s="8">
        <v>45657</v>
      </c>
      <c r="B244">
        <v>0.9</v>
      </c>
    </row>
    <row r="245" spans="1:2" x14ac:dyDescent="0.25">
      <c r="A245" s="8">
        <v>45688</v>
      </c>
      <c r="B245">
        <v>-16.3</v>
      </c>
    </row>
    <row r="246" spans="1:2" x14ac:dyDescent="0.25">
      <c r="A246" s="8">
        <v>45716</v>
      </c>
      <c r="B246">
        <v>1.6</v>
      </c>
    </row>
    <row r="247" spans="1:2" x14ac:dyDescent="0.25">
      <c r="A247" s="8">
        <v>45747</v>
      </c>
      <c r="B247">
        <v>-4.3</v>
      </c>
    </row>
    <row r="248" spans="1:2" x14ac:dyDescent="0.25">
      <c r="A248" s="8">
        <v>45777</v>
      </c>
      <c r="B248">
        <v>-0.3</v>
      </c>
    </row>
    <row r="249" spans="1:2" x14ac:dyDescent="0.25">
      <c r="A249" s="8">
        <v>45808</v>
      </c>
      <c r="B249">
        <v>-3.3</v>
      </c>
    </row>
    <row r="250" spans="1:2" x14ac:dyDescent="0.25">
      <c r="A250" s="8">
        <v>45838</v>
      </c>
      <c r="B250">
        <v>1.2</v>
      </c>
    </row>
    <row r="251" spans="1:2" x14ac:dyDescent="0.25">
      <c r="A251" s="8">
        <v>45869</v>
      </c>
      <c r="B251">
        <v>4.2</v>
      </c>
    </row>
    <row r="252" spans="1:2" x14ac:dyDescent="0.25">
      <c r="A252" s="8">
        <v>45900</v>
      </c>
      <c r="B252">
        <v>1.4</v>
      </c>
    </row>
    <row r="253" spans="1:2" x14ac:dyDescent="0.25">
      <c r="A253" s="8">
        <v>45930</v>
      </c>
      <c r="B253">
        <v>7.4</v>
      </c>
    </row>
    <row r="254" spans="1:2" x14ac:dyDescent="0.25">
      <c r="A254" s="8">
        <v>45961</v>
      </c>
      <c r="B254">
        <v>0.9</v>
      </c>
    </row>
    <row r="255" spans="1:2" x14ac:dyDescent="0.25">
      <c r="A255" s="8">
        <v>45991</v>
      </c>
      <c r="B255">
        <v>1.9</v>
      </c>
    </row>
    <row r="256" spans="1:2" x14ac:dyDescent="0.25">
      <c r="A256" s="8">
        <v>46022</v>
      </c>
      <c r="B256">
        <v>5.7</v>
      </c>
    </row>
    <row r="271" spans="1:4" x14ac:dyDescent="0.25">
      <c r="A271" s="6" t="s">
        <v>91</v>
      </c>
      <c r="B271" s="6" t="s">
        <v>92</v>
      </c>
      <c r="C271" s="6" t="s">
        <v>93</v>
      </c>
      <c r="D271" s="6" t="s">
        <v>54</v>
      </c>
    </row>
    <row r="272" spans="1:4" x14ac:dyDescent="0.25">
      <c r="A272" t="str">
        <f ca="1">_xll.BDH("CTBABALA Index","PX_LAST","02/01/2016",TODAY(),"Per=M")</f>
        <v>#N/A Invalid Security</v>
      </c>
    </row>
    <row r="406" spans="1:4" x14ac:dyDescent="0.25">
      <c r="A406" s="6" t="s">
        <v>94</v>
      </c>
      <c r="B406" s="6" t="s">
        <v>95</v>
      </c>
      <c r="C406" s="6" t="s">
        <v>96</v>
      </c>
      <c r="D406" s="6" t="s">
        <v>54</v>
      </c>
    </row>
    <row r="407" spans="1:4" x14ac:dyDescent="0.25">
      <c r="A407" t="str">
        <f ca="1">_xll.BDH("CNTSFTOT Index","PX_LAST","02/01/2016",TODAY(),"Per=M")</f>
        <v>#N/A Invalid Security</v>
      </c>
    </row>
    <row r="541" spans="1:4" x14ac:dyDescent="0.25">
      <c r="A541" s="6" t="s">
        <v>97</v>
      </c>
      <c r="B541" s="6" t="s">
        <v>98</v>
      </c>
      <c r="C541" s="6" t="s">
        <v>99</v>
      </c>
      <c r="D541" s="6" t="s">
        <v>54</v>
      </c>
    </row>
    <row r="542" spans="1:4" x14ac:dyDescent="0.25">
      <c r="A542" s="8">
        <f ca="1">_xll.BDH("CNMS2YOY Index","PX_LAST","02/01/2016",TODAY(),"Per=M","cols=2;rows=121")</f>
        <v>42400</v>
      </c>
      <c r="B542">
        <v>14</v>
      </c>
    </row>
    <row r="543" spans="1:4" x14ac:dyDescent="0.25">
      <c r="A543" s="8">
        <v>42429</v>
      </c>
      <c r="B543">
        <v>13.3</v>
      </c>
    </row>
    <row r="544" spans="1:4" x14ac:dyDescent="0.25">
      <c r="A544" s="8">
        <v>42460</v>
      </c>
      <c r="B544">
        <v>13.4</v>
      </c>
    </row>
    <row r="545" spans="1:2" x14ac:dyDescent="0.25">
      <c r="A545" s="8">
        <v>42490</v>
      </c>
      <c r="B545">
        <v>12.8</v>
      </c>
    </row>
    <row r="546" spans="1:2" x14ac:dyDescent="0.25">
      <c r="A546" s="8">
        <v>42521</v>
      </c>
      <c r="B546">
        <v>11.8</v>
      </c>
    </row>
    <row r="547" spans="1:2" x14ac:dyDescent="0.25">
      <c r="A547" s="8">
        <v>42551</v>
      </c>
      <c r="B547">
        <v>11.8</v>
      </c>
    </row>
    <row r="548" spans="1:2" x14ac:dyDescent="0.25">
      <c r="A548" s="8">
        <v>42582</v>
      </c>
      <c r="B548">
        <v>10.199999999999999</v>
      </c>
    </row>
    <row r="549" spans="1:2" x14ac:dyDescent="0.25">
      <c r="A549" s="8">
        <v>42613</v>
      </c>
      <c r="B549">
        <v>11.4</v>
      </c>
    </row>
    <row r="550" spans="1:2" x14ac:dyDescent="0.25">
      <c r="A550" s="8">
        <v>42643</v>
      </c>
      <c r="B550">
        <v>11.5</v>
      </c>
    </row>
    <row r="551" spans="1:2" x14ac:dyDescent="0.25">
      <c r="A551" s="8">
        <v>42674</v>
      </c>
      <c r="B551">
        <v>11.6</v>
      </c>
    </row>
    <row r="552" spans="1:2" x14ac:dyDescent="0.25">
      <c r="A552" s="8">
        <v>42704</v>
      </c>
      <c r="B552">
        <v>11.4</v>
      </c>
    </row>
    <row r="553" spans="1:2" x14ac:dyDescent="0.25">
      <c r="A553" s="8">
        <v>42735</v>
      </c>
      <c r="B553">
        <v>11.3</v>
      </c>
    </row>
    <row r="554" spans="1:2" x14ac:dyDescent="0.25">
      <c r="A554" s="8">
        <v>42766</v>
      </c>
      <c r="B554">
        <v>10.7</v>
      </c>
    </row>
    <row r="555" spans="1:2" x14ac:dyDescent="0.25">
      <c r="A555" s="8">
        <v>42794</v>
      </c>
      <c r="B555">
        <v>10.4</v>
      </c>
    </row>
    <row r="556" spans="1:2" x14ac:dyDescent="0.25">
      <c r="A556" s="8">
        <v>42825</v>
      </c>
      <c r="B556">
        <v>10.1</v>
      </c>
    </row>
    <row r="557" spans="1:2" x14ac:dyDescent="0.25">
      <c r="A557" s="8">
        <v>42855</v>
      </c>
      <c r="B557">
        <v>9.8000000000000007</v>
      </c>
    </row>
    <row r="558" spans="1:2" x14ac:dyDescent="0.25">
      <c r="A558" s="8">
        <v>42886</v>
      </c>
      <c r="B558">
        <v>9.1</v>
      </c>
    </row>
    <row r="559" spans="1:2" x14ac:dyDescent="0.25">
      <c r="A559" s="8">
        <v>42916</v>
      </c>
      <c r="B559">
        <v>9.1</v>
      </c>
    </row>
    <row r="560" spans="1:2" x14ac:dyDescent="0.25">
      <c r="A560" s="8">
        <v>42947</v>
      </c>
      <c r="B560">
        <v>8.9</v>
      </c>
    </row>
    <row r="561" spans="1:2" x14ac:dyDescent="0.25">
      <c r="A561" s="8">
        <v>42978</v>
      </c>
      <c r="B561">
        <v>8.6</v>
      </c>
    </row>
    <row r="562" spans="1:2" x14ac:dyDescent="0.25">
      <c r="A562" s="8">
        <v>43008</v>
      </c>
      <c r="B562">
        <v>9</v>
      </c>
    </row>
    <row r="563" spans="1:2" x14ac:dyDescent="0.25">
      <c r="A563" s="8">
        <v>43039</v>
      </c>
      <c r="B563">
        <v>8.9</v>
      </c>
    </row>
    <row r="564" spans="1:2" x14ac:dyDescent="0.25">
      <c r="A564" s="8">
        <v>43069</v>
      </c>
      <c r="B564">
        <v>9.1</v>
      </c>
    </row>
    <row r="565" spans="1:2" x14ac:dyDescent="0.25">
      <c r="A565" s="8">
        <v>43100</v>
      </c>
      <c r="B565">
        <v>8.1</v>
      </c>
    </row>
    <row r="566" spans="1:2" x14ac:dyDescent="0.25">
      <c r="A566" s="8">
        <v>43131</v>
      </c>
      <c r="B566">
        <v>8.6</v>
      </c>
    </row>
    <row r="567" spans="1:2" x14ac:dyDescent="0.25">
      <c r="A567" s="8">
        <v>43159</v>
      </c>
      <c r="B567">
        <v>8.8000000000000007</v>
      </c>
    </row>
    <row r="568" spans="1:2" x14ac:dyDescent="0.25">
      <c r="A568" s="8">
        <v>43190</v>
      </c>
      <c r="B568">
        <v>8.1999999999999993</v>
      </c>
    </row>
    <row r="569" spans="1:2" x14ac:dyDescent="0.25">
      <c r="A569" s="8">
        <v>43220</v>
      </c>
      <c r="B569">
        <v>8.3000000000000007</v>
      </c>
    </row>
    <row r="570" spans="1:2" x14ac:dyDescent="0.25">
      <c r="A570" s="8">
        <v>43251</v>
      </c>
      <c r="B570">
        <v>8.3000000000000007</v>
      </c>
    </row>
    <row r="571" spans="1:2" x14ac:dyDescent="0.25">
      <c r="A571" s="8">
        <v>43281</v>
      </c>
      <c r="B571">
        <v>8</v>
      </c>
    </row>
    <row r="572" spans="1:2" x14ac:dyDescent="0.25">
      <c r="A572" s="8">
        <v>43312</v>
      </c>
      <c r="B572">
        <v>8.5</v>
      </c>
    </row>
    <row r="573" spans="1:2" x14ac:dyDescent="0.25">
      <c r="A573" s="8">
        <v>43343</v>
      </c>
      <c r="B573">
        <v>8.1999999999999993</v>
      </c>
    </row>
    <row r="574" spans="1:2" x14ac:dyDescent="0.25">
      <c r="A574" s="8">
        <v>43373</v>
      </c>
      <c r="B574">
        <v>8.3000000000000007</v>
      </c>
    </row>
    <row r="575" spans="1:2" x14ac:dyDescent="0.25">
      <c r="A575" s="8">
        <v>43404</v>
      </c>
      <c r="B575">
        <v>8</v>
      </c>
    </row>
    <row r="576" spans="1:2" x14ac:dyDescent="0.25">
      <c r="A576" s="8">
        <v>43434</v>
      </c>
      <c r="B576">
        <v>8</v>
      </c>
    </row>
    <row r="577" spans="1:2" x14ac:dyDescent="0.25">
      <c r="A577" s="8">
        <v>43465</v>
      </c>
      <c r="B577">
        <v>8.1</v>
      </c>
    </row>
    <row r="578" spans="1:2" x14ac:dyDescent="0.25">
      <c r="A578" s="8">
        <v>43496</v>
      </c>
      <c r="B578">
        <v>8.4</v>
      </c>
    </row>
    <row r="579" spans="1:2" x14ac:dyDescent="0.25">
      <c r="A579" s="8">
        <v>43524</v>
      </c>
      <c r="B579">
        <v>8</v>
      </c>
    </row>
    <row r="580" spans="1:2" x14ac:dyDescent="0.25">
      <c r="A580" s="8">
        <v>43555</v>
      </c>
      <c r="B580">
        <v>8.6</v>
      </c>
    </row>
    <row r="581" spans="1:2" x14ac:dyDescent="0.25">
      <c r="A581" s="8">
        <v>43585</v>
      </c>
      <c r="B581">
        <v>8.5</v>
      </c>
    </row>
    <row r="582" spans="1:2" x14ac:dyDescent="0.25">
      <c r="A582" s="8">
        <v>43616</v>
      </c>
      <c r="B582">
        <v>8.5</v>
      </c>
    </row>
    <row r="583" spans="1:2" x14ac:dyDescent="0.25">
      <c r="A583" s="8">
        <v>43646</v>
      </c>
      <c r="B583">
        <v>8.5</v>
      </c>
    </row>
    <row r="584" spans="1:2" x14ac:dyDescent="0.25">
      <c r="A584" s="8">
        <v>43677</v>
      </c>
      <c r="B584">
        <v>8.1</v>
      </c>
    </row>
    <row r="585" spans="1:2" x14ac:dyDescent="0.25">
      <c r="A585" s="8">
        <v>43708</v>
      </c>
      <c r="B585">
        <v>8.1999999999999993</v>
      </c>
    </row>
    <row r="586" spans="1:2" x14ac:dyDescent="0.25">
      <c r="A586" s="8">
        <v>43738</v>
      </c>
      <c r="B586">
        <v>8.4</v>
      </c>
    </row>
    <row r="587" spans="1:2" x14ac:dyDescent="0.25">
      <c r="A587" s="8">
        <v>43769</v>
      </c>
      <c r="B587">
        <v>8.4</v>
      </c>
    </row>
    <row r="588" spans="1:2" x14ac:dyDescent="0.25">
      <c r="A588" s="8">
        <v>43799</v>
      </c>
      <c r="B588">
        <v>8.1999999999999993</v>
      </c>
    </row>
    <row r="589" spans="1:2" x14ac:dyDescent="0.25">
      <c r="A589" s="8">
        <v>43830</v>
      </c>
      <c r="B589">
        <v>8.6999999999999993</v>
      </c>
    </row>
    <row r="590" spans="1:2" x14ac:dyDescent="0.25">
      <c r="A590" s="8">
        <v>43861</v>
      </c>
      <c r="B590">
        <v>8.4</v>
      </c>
    </row>
    <row r="591" spans="1:2" x14ac:dyDescent="0.25">
      <c r="A591" s="8">
        <v>43890</v>
      </c>
      <c r="B591">
        <v>8.8000000000000007</v>
      </c>
    </row>
    <row r="592" spans="1:2" x14ac:dyDescent="0.25">
      <c r="A592" s="8">
        <v>43921</v>
      </c>
      <c r="B592">
        <v>10.1</v>
      </c>
    </row>
    <row r="593" spans="1:2" x14ac:dyDescent="0.25">
      <c r="A593" s="8">
        <v>43951</v>
      </c>
      <c r="B593">
        <v>11.1</v>
      </c>
    </row>
    <row r="594" spans="1:2" x14ac:dyDescent="0.25">
      <c r="A594" s="8">
        <v>43982</v>
      </c>
      <c r="B594">
        <v>11.1</v>
      </c>
    </row>
    <row r="595" spans="1:2" x14ac:dyDescent="0.25">
      <c r="A595" s="8">
        <v>44012</v>
      </c>
      <c r="B595">
        <v>11.1</v>
      </c>
    </row>
    <row r="596" spans="1:2" x14ac:dyDescent="0.25">
      <c r="A596" s="8">
        <v>44043</v>
      </c>
      <c r="B596">
        <v>10.7</v>
      </c>
    </row>
    <row r="597" spans="1:2" x14ac:dyDescent="0.25">
      <c r="A597" s="8">
        <v>44074</v>
      </c>
      <c r="B597">
        <v>10.4</v>
      </c>
    </row>
    <row r="598" spans="1:2" x14ac:dyDescent="0.25">
      <c r="A598" s="8">
        <v>44104</v>
      </c>
      <c r="B598">
        <v>10.9</v>
      </c>
    </row>
    <row r="599" spans="1:2" x14ac:dyDescent="0.25">
      <c r="A599" s="8">
        <v>44135</v>
      </c>
      <c r="B599">
        <v>10.5</v>
      </c>
    </row>
    <row r="600" spans="1:2" x14ac:dyDescent="0.25">
      <c r="A600" s="8">
        <v>44165</v>
      </c>
      <c r="B600">
        <v>10.7</v>
      </c>
    </row>
    <row r="601" spans="1:2" x14ac:dyDescent="0.25">
      <c r="A601" s="8">
        <v>44196</v>
      </c>
      <c r="B601">
        <v>10.1</v>
      </c>
    </row>
    <row r="602" spans="1:2" x14ac:dyDescent="0.25">
      <c r="A602" s="8">
        <v>44227</v>
      </c>
      <c r="B602">
        <v>9.4</v>
      </c>
    </row>
    <row r="603" spans="1:2" x14ac:dyDescent="0.25">
      <c r="A603" s="8">
        <v>44255</v>
      </c>
      <c r="B603">
        <v>10.1</v>
      </c>
    </row>
    <row r="604" spans="1:2" x14ac:dyDescent="0.25">
      <c r="A604" s="8">
        <v>44286</v>
      </c>
      <c r="B604">
        <v>9.4</v>
      </c>
    </row>
    <row r="605" spans="1:2" x14ac:dyDescent="0.25">
      <c r="A605" s="8">
        <v>44316</v>
      </c>
      <c r="B605">
        <v>8.1</v>
      </c>
    </row>
    <row r="606" spans="1:2" x14ac:dyDescent="0.25">
      <c r="A606" s="8">
        <v>44347</v>
      </c>
      <c r="B606">
        <v>8.3000000000000007</v>
      </c>
    </row>
    <row r="607" spans="1:2" x14ac:dyDescent="0.25">
      <c r="A607" s="8">
        <v>44377</v>
      </c>
      <c r="B607">
        <v>8.6</v>
      </c>
    </row>
    <row r="608" spans="1:2" x14ac:dyDescent="0.25">
      <c r="A608" s="8">
        <v>44408</v>
      </c>
      <c r="B608">
        <v>8.3000000000000007</v>
      </c>
    </row>
    <row r="609" spans="1:2" x14ac:dyDescent="0.25">
      <c r="A609" s="8">
        <v>44439</v>
      </c>
      <c r="B609">
        <v>8.1999999999999993</v>
      </c>
    </row>
    <row r="610" spans="1:2" x14ac:dyDescent="0.25">
      <c r="A610" s="8">
        <v>44469</v>
      </c>
      <c r="B610">
        <v>8.3000000000000007</v>
      </c>
    </row>
    <row r="611" spans="1:2" x14ac:dyDescent="0.25">
      <c r="A611" s="8">
        <v>44500</v>
      </c>
      <c r="B611">
        <v>8.6999999999999993</v>
      </c>
    </row>
    <row r="612" spans="1:2" x14ac:dyDescent="0.25">
      <c r="A612" s="8">
        <v>44530</v>
      </c>
      <c r="B612">
        <v>8.5</v>
      </c>
    </row>
    <row r="613" spans="1:2" x14ac:dyDescent="0.25">
      <c r="A613" s="8">
        <v>44561</v>
      </c>
      <c r="B613">
        <v>9</v>
      </c>
    </row>
    <row r="614" spans="1:2" x14ac:dyDescent="0.25">
      <c r="A614" s="8">
        <v>44592</v>
      </c>
      <c r="B614">
        <v>9.8000000000000007</v>
      </c>
    </row>
    <row r="615" spans="1:2" x14ac:dyDescent="0.25">
      <c r="A615" s="8">
        <v>44620</v>
      </c>
      <c r="B615">
        <v>9.1999999999999993</v>
      </c>
    </row>
    <row r="616" spans="1:2" x14ac:dyDescent="0.25">
      <c r="A616" s="8">
        <v>44651</v>
      </c>
      <c r="B616">
        <v>9.6999999999999993</v>
      </c>
    </row>
    <row r="617" spans="1:2" x14ac:dyDescent="0.25">
      <c r="A617" s="8">
        <v>44681</v>
      </c>
      <c r="B617">
        <v>10.5</v>
      </c>
    </row>
    <row r="618" spans="1:2" x14ac:dyDescent="0.25">
      <c r="A618" s="8">
        <v>44712</v>
      </c>
      <c r="B618">
        <v>11.1</v>
      </c>
    </row>
    <row r="619" spans="1:2" x14ac:dyDescent="0.25">
      <c r="A619" s="8">
        <v>44742</v>
      </c>
      <c r="B619">
        <v>11.4</v>
      </c>
    </row>
    <row r="620" spans="1:2" x14ac:dyDescent="0.25">
      <c r="A620" s="8">
        <v>44773</v>
      </c>
      <c r="B620">
        <v>12</v>
      </c>
    </row>
    <row r="621" spans="1:2" x14ac:dyDescent="0.25">
      <c r="A621" s="8">
        <v>44804</v>
      </c>
      <c r="B621">
        <v>12.2</v>
      </c>
    </row>
    <row r="622" spans="1:2" x14ac:dyDescent="0.25">
      <c r="A622" s="8">
        <v>44834</v>
      </c>
      <c r="B622">
        <v>12.1</v>
      </c>
    </row>
    <row r="623" spans="1:2" x14ac:dyDescent="0.25">
      <c r="A623" s="8">
        <v>44865</v>
      </c>
      <c r="B623">
        <v>11.8</v>
      </c>
    </row>
    <row r="624" spans="1:2" x14ac:dyDescent="0.25">
      <c r="A624" s="8">
        <v>44895</v>
      </c>
      <c r="B624">
        <v>12.4</v>
      </c>
    </row>
    <row r="625" spans="1:2" x14ac:dyDescent="0.25">
      <c r="A625" s="8">
        <v>44926</v>
      </c>
      <c r="B625">
        <v>11.8</v>
      </c>
    </row>
    <row r="626" spans="1:2" x14ac:dyDescent="0.25">
      <c r="A626" s="8">
        <v>44957</v>
      </c>
      <c r="B626">
        <v>12.6</v>
      </c>
    </row>
    <row r="627" spans="1:2" x14ac:dyDescent="0.25">
      <c r="A627" s="8">
        <v>44985</v>
      </c>
      <c r="B627">
        <v>12.9</v>
      </c>
    </row>
    <row r="628" spans="1:2" x14ac:dyDescent="0.25">
      <c r="A628" s="8">
        <v>45016</v>
      </c>
      <c r="B628">
        <v>12.7</v>
      </c>
    </row>
    <row r="629" spans="1:2" x14ac:dyDescent="0.25">
      <c r="A629" s="8">
        <v>45046</v>
      </c>
      <c r="B629">
        <v>12.4</v>
      </c>
    </row>
    <row r="630" spans="1:2" x14ac:dyDescent="0.25">
      <c r="A630" s="8">
        <v>45077</v>
      </c>
      <c r="B630">
        <v>11.6</v>
      </c>
    </row>
    <row r="631" spans="1:2" x14ac:dyDescent="0.25">
      <c r="A631" s="8">
        <v>45107</v>
      </c>
      <c r="B631">
        <v>11.3</v>
      </c>
    </row>
    <row r="632" spans="1:2" x14ac:dyDescent="0.25">
      <c r="A632" s="8">
        <v>45138</v>
      </c>
      <c r="B632">
        <v>10.7</v>
      </c>
    </row>
    <row r="633" spans="1:2" x14ac:dyDescent="0.25">
      <c r="A633" s="8">
        <v>45169</v>
      </c>
      <c r="B633">
        <v>10.6</v>
      </c>
    </row>
    <row r="634" spans="1:2" x14ac:dyDescent="0.25">
      <c r="A634" s="8">
        <v>45199</v>
      </c>
      <c r="B634">
        <v>10.3</v>
      </c>
    </row>
    <row r="635" spans="1:2" x14ac:dyDescent="0.25">
      <c r="A635" s="8">
        <v>45230</v>
      </c>
      <c r="B635">
        <v>10.3</v>
      </c>
    </row>
    <row r="636" spans="1:2" x14ac:dyDescent="0.25">
      <c r="A636" s="8">
        <v>45260</v>
      </c>
      <c r="B636">
        <v>10</v>
      </c>
    </row>
    <row r="637" spans="1:2" x14ac:dyDescent="0.25">
      <c r="A637" s="8">
        <v>45291</v>
      </c>
      <c r="B637">
        <v>9.6999999999999993</v>
      </c>
    </row>
    <row r="638" spans="1:2" x14ac:dyDescent="0.25">
      <c r="A638" s="8">
        <v>45322</v>
      </c>
      <c r="B638">
        <v>8.6999999999999993</v>
      </c>
    </row>
    <row r="639" spans="1:2" x14ac:dyDescent="0.25">
      <c r="A639" s="8">
        <v>45351</v>
      </c>
      <c r="B639">
        <v>8.6999999999999993</v>
      </c>
    </row>
    <row r="640" spans="1:2" x14ac:dyDescent="0.25">
      <c r="A640" s="8">
        <v>45382</v>
      </c>
      <c r="B640">
        <v>8.3000000000000007</v>
      </c>
    </row>
    <row r="641" spans="1:2" x14ac:dyDescent="0.25">
      <c r="A641" s="8">
        <v>45412</v>
      </c>
      <c r="B641">
        <v>7.2</v>
      </c>
    </row>
    <row r="642" spans="1:2" x14ac:dyDescent="0.25">
      <c r="A642" s="8">
        <v>45443</v>
      </c>
      <c r="B642">
        <v>7</v>
      </c>
    </row>
    <row r="643" spans="1:2" x14ac:dyDescent="0.25">
      <c r="A643" s="8">
        <v>45473</v>
      </c>
      <c r="B643">
        <v>6.2</v>
      </c>
    </row>
    <row r="644" spans="1:2" x14ac:dyDescent="0.25">
      <c r="A644" s="8">
        <v>45504</v>
      </c>
      <c r="B644">
        <v>6.3</v>
      </c>
    </row>
    <row r="645" spans="1:2" x14ac:dyDescent="0.25">
      <c r="A645" s="8">
        <v>45535</v>
      </c>
      <c r="B645">
        <v>6.3</v>
      </c>
    </row>
    <row r="646" spans="1:2" x14ac:dyDescent="0.25">
      <c r="A646" s="8">
        <v>45565</v>
      </c>
      <c r="B646">
        <v>6.8</v>
      </c>
    </row>
    <row r="647" spans="1:2" x14ac:dyDescent="0.25">
      <c r="A647" s="8">
        <v>45596</v>
      </c>
      <c r="B647">
        <v>7.5</v>
      </c>
    </row>
    <row r="648" spans="1:2" x14ac:dyDescent="0.25">
      <c r="A648" s="8">
        <v>45626</v>
      </c>
      <c r="B648">
        <v>7.1</v>
      </c>
    </row>
    <row r="649" spans="1:2" x14ac:dyDescent="0.25">
      <c r="A649" s="8">
        <v>45657</v>
      </c>
      <c r="B649">
        <v>7.3</v>
      </c>
    </row>
    <row r="650" spans="1:2" x14ac:dyDescent="0.25">
      <c r="A650" s="8">
        <v>45688</v>
      </c>
      <c r="B650">
        <v>7</v>
      </c>
    </row>
    <row r="651" spans="1:2" x14ac:dyDescent="0.25">
      <c r="A651" s="8">
        <v>45716</v>
      </c>
      <c r="B651">
        <v>7</v>
      </c>
    </row>
    <row r="652" spans="1:2" x14ac:dyDescent="0.25">
      <c r="A652" s="8">
        <v>45747</v>
      </c>
      <c r="B652">
        <v>7</v>
      </c>
    </row>
    <row r="653" spans="1:2" x14ac:dyDescent="0.25">
      <c r="A653" s="8">
        <v>45777</v>
      </c>
      <c r="B653">
        <v>8</v>
      </c>
    </row>
    <row r="654" spans="1:2" x14ac:dyDescent="0.25">
      <c r="A654" s="8">
        <v>45808</v>
      </c>
      <c r="B654">
        <v>7.9</v>
      </c>
    </row>
    <row r="655" spans="1:2" x14ac:dyDescent="0.25">
      <c r="A655" s="8">
        <v>45838</v>
      </c>
      <c r="B655">
        <v>8.3000000000000007</v>
      </c>
    </row>
    <row r="656" spans="1:2" x14ac:dyDescent="0.25">
      <c r="A656" s="8">
        <v>45869</v>
      </c>
      <c r="B656">
        <v>8.8000000000000007</v>
      </c>
    </row>
    <row r="657" spans="1:2" x14ac:dyDescent="0.25">
      <c r="A657" s="8">
        <v>45900</v>
      </c>
      <c r="B657">
        <v>8.8000000000000007</v>
      </c>
    </row>
    <row r="658" spans="1:2" x14ac:dyDescent="0.25">
      <c r="A658" s="8">
        <v>45930</v>
      </c>
      <c r="B658">
        <v>8.4</v>
      </c>
    </row>
    <row r="659" spans="1:2" x14ac:dyDescent="0.25">
      <c r="A659" s="8">
        <v>45961</v>
      </c>
      <c r="B659">
        <v>8.1999999999999993</v>
      </c>
    </row>
    <row r="660" spans="1:2" x14ac:dyDescent="0.25">
      <c r="A660" s="8">
        <v>45991</v>
      </c>
      <c r="B660">
        <v>8</v>
      </c>
    </row>
    <row r="661" spans="1:2" x14ac:dyDescent="0.25">
      <c r="A661" s="8">
        <v>46022</v>
      </c>
      <c r="B661">
        <v>8.5</v>
      </c>
    </row>
    <row r="662" spans="1:2" x14ac:dyDescent="0.25">
      <c r="A662" s="8">
        <v>46053</v>
      </c>
      <c r="B662">
        <v>9</v>
      </c>
    </row>
    <row r="676" spans="1:4" x14ac:dyDescent="0.25">
      <c r="A676" s="6" t="s">
        <v>100</v>
      </c>
      <c r="B676" s="6" t="s">
        <v>101</v>
      </c>
      <c r="C676" s="6" t="s">
        <v>102</v>
      </c>
      <c r="D676" s="6" t="s">
        <v>54</v>
      </c>
    </row>
    <row r="677" spans="1:4" x14ac:dyDescent="0.25">
      <c r="A677" s="8">
        <f ca="1">_xll.BDH("CHEFTYOY Index","PX_LAST","02/01/2016",TODAY(),"Per=M","cols=2;rows=121")</f>
        <v>42400</v>
      </c>
      <c r="B677">
        <v>-5.3</v>
      </c>
    </row>
    <row r="678" spans="1:4" x14ac:dyDescent="0.25">
      <c r="A678" s="8">
        <v>42429</v>
      </c>
      <c r="B678">
        <v>-4.9000000000000004</v>
      </c>
    </row>
    <row r="679" spans="1:4" x14ac:dyDescent="0.25">
      <c r="A679" s="8">
        <v>42460</v>
      </c>
      <c r="B679">
        <v>-4.3</v>
      </c>
    </row>
    <row r="680" spans="1:4" x14ac:dyDescent="0.25">
      <c r="A680" s="8">
        <v>42490</v>
      </c>
      <c r="B680">
        <v>-3.4</v>
      </c>
    </row>
    <row r="681" spans="1:4" x14ac:dyDescent="0.25">
      <c r="A681" s="8">
        <v>42521</v>
      </c>
      <c r="B681">
        <v>-2.8</v>
      </c>
    </row>
    <row r="682" spans="1:4" x14ac:dyDescent="0.25">
      <c r="A682" s="8">
        <v>42551</v>
      </c>
      <c r="B682">
        <v>-2.6</v>
      </c>
    </row>
    <row r="683" spans="1:4" x14ac:dyDescent="0.25">
      <c r="A683" s="8">
        <v>42582</v>
      </c>
      <c r="B683">
        <v>-1.7</v>
      </c>
    </row>
    <row r="684" spans="1:4" x14ac:dyDescent="0.25">
      <c r="A684" s="8">
        <v>42613</v>
      </c>
      <c r="B684">
        <v>-0.8</v>
      </c>
    </row>
    <row r="685" spans="1:4" x14ac:dyDescent="0.25">
      <c r="A685" s="8">
        <v>42643</v>
      </c>
      <c r="B685">
        <v>0.1</v>
      </c>
    </row>
    <row r="686" spans="1:4" x14ac:dyDescent="0.25">
      <c r="A686" s="8">
        <v>42674</v>
      </c>
      <c r="B686">
        <v>1.2</v>
      </c>
    </row>
    <row r="687" spans="1:4" x14ac:dyDescent="0.25">
      <c r="A687" s="8">
        <v>42704</v>
      </c>
      <c r="B687">
        <v>3.3</v>
      </c>
    </row>
    <row r="688" spans="1:4" x14ac:dyDescent="0.25">
      <c r="A688" s="8">
        <v>42735</v>
      </c>
      <c r="B688">
        <v>5.5</v>
      </c>
    </row>
    <row r="689" spans="1:2" x14ac:dyDescent="0.25">
      <c r="A689" s="8">
        <v>42766</v>
      </c>
      <c r="B689">
        <v>6.9</v>
      </c>
    </row>
    <row r="690" spans="1:2" x14ac:dyDescent="0.25">
      <c r="A690" s="8">
        <v>42794</v>
      </c>
      <c r="B690">
        <v>7.8</v>
      </c>
    </row>
    <row r="691" spans="1:2" x14ac:dyDescent="0.25">
      <c r="A691" s="8">
        <v>42825</v>
      </c>
      <c r="B691">
        <v>7.6</v>
      </c>
    </row>
    <row r="692" spans="1:2" x14ac:dyDescent="0.25">
      <c r="A692" s="8">
        <v>42855</v>
      </c>
      <c r="B692">
        <v>6.4</v>
      </c>
    </row>
    <row r="693" spans="1:2" x14ac:dyDescent="0.25">
      <c r="A693" s="8">
        <v>42886</v>
      </c>
      <c r="B693">
        <v>5.5</v>
      </c>
    </row>
    <row r="694" spans="1:2" x14ac:dyDescent="0.25">
      <c r="A694" s="8">
        <v>42916</v>
      </c>
      <c r="B694">
        <v>5.5</v>
      </c>
    </row>
    <row r="695" spans="1:2" x14ac:dyDescent="0.25">
      <c r="A695" s="8">
        <v>42947</v>
      </c>
      <c r="B695">
        <v>5.5</v>
      </c>
    </row>
    <row r="696" spans="1:2" x14ac:dyDescent="0.25">
      <c r="A696" s="8">
        <v>42978</v>
      </c>
      <c r="B696">
        <v>6.3</v>
      </c>
    </row>
    <row r="697" spans="1:2" x14ac:dyDescent="0.25">
      <c r="A697" s="8">
        <v>43008</v>
      </c>
      <c r="B697">
        <v>6.9</v>
      </c>
    </row>
    <row r="698" spans="1:2" x14ac:dyDescent="0.25">
      <c r="A698" s="8">
        <v>43039</v>
      </c>
      <c r="B698">
        <v>6.9</v>
      </c>
    </row>
    <row r="699" spans="1:2" x14ac:dyDescent="0.25">
      <c r="A699" s="8">
        <v>43069</v>
      </c>
      <c r="B699">
        <v>5.8</v>
      </c>
    </row>
    <row r="700" spans="1:2" x14ac:dyDescent="0.25">
      <c r="A700" s="8">
        <v>43100</v>
      </c>
      <c r="B700">
        <v>4.9000000000000004</v>
      </c>
    </row>
    <row r="701" spans="1:2" x14ac:dyDescent="0.25">
      <c r="A701" s="8">
        <v>43131</v>
      </c>
      <c r="B701">
        <v>4.3</v>
      </c>
    </row>
    <row r="702" spans="1:2" x14ac:dyDescent="0.25">
      <c r="A702" s="8">
        <v>43159</v>
      </c>
      <c r="B702">
        <v>3.7</v>
      </c>
    </row>
    <row r="703" spans="1:2" x14ac:dyDescent="0.25">
      <c r="A703" s="8">
        <v>43190</v>
      </c>
      <c r="B703">
        <v>3.1</v>
      </c>
    </row>
    <row r="704" spans="1:2" x14ac:dyDescent="0.25">
      <c r="A704" s="8">
        <v>43220</v>
      </c>
      <c r="B704">
        <v>3.4</v>
      </c>
    </row>
    <row r="705" spans="1:2" x14ac:dyDescent="0.25">
      <c r="A705" s="8">
        <v>43251</v>
      </c>
      <c r="B705">
        <v>4.0999999999999996</v>
      </c>
    </row>
    <row r="706" spans="1:2" x14ac:dyDescent="0.25">
      <c r="A706" s="8">
        <v>43281</v>
      </c>
      <c r="B706">
        <v>4.7</v>
      </c>
    </row>
    <row r="707" spans="1:2" x14ac:dyDescent="0.25">
      <c r="A707" s="8">
        <v>43312</v>
      </c>
      <c r="B707">
        <v>4.5999999999999996</v>
      </c>
    </row>
    <row r="708" spans="1:2" x14ac:dyDescent="0.25">
      <c r="A708" s="8">
        <v>43343</v>
      </c>
      <c r="B708">
        <v>4.0999999999999996</v>
      </c>
    </row>
    <row r="709" spans="1:2" x14ac:dyDescent="0.25">
      <c r="A709" s="8">
        <v>43373</v>
      </c>
      <c r="B709">
        <v>3.6</v>
      </c>
    </row>
    <row r="710" spans="1:2" x14ac:dyDescent="0.25">
      <c r="A710" s="8">
        <v>43404</v>
      </c>
      <c r="B710">
        <v>3.3</v>
      </c>
    </row>
    <row r="711" spans="1:2" x14ac:dyDescent="0.25">
      <c r="A711" s="8">
        <v>43434</v>
      </c>
      <c r="B711">
        <v>2.7</v>
      </c>
    </row>
    <row r="712" spans="1:2" x14ac:dyDescent="0.25">
      <c r="A712" s="8">
        <v>43465</v>
      </c>
      <c r="B712">
        <v>0.9</v>
      </c>
    </row>
    <row r="713" spans="1:2" x14ac:dyDescent="0.25">
      <c r="A713" s="8">
        <v>43496</v>
      </c>
      <c r="B713">
        <v>0.1</v>
      </c>
    </row>
    <row r="714" spans="1:2" x14ac:dyDescent="0.25">
      <c r="A714" s="8">
        <v>43524</v>
      </c>
      <c r="B714">
        <v>0.1</v>
      </c>
    </row>
    <row r="715" spans="1:2" x14ac:dyDescent="0.25">
      <c r="A715" s="8">
        <v>43555</v>
      </c>
      <c r="B715">
        <v>0.4</v>
      </c>
    </row>
    <row r="716" spans="1:2" x14ac:dyDescent="0.25">
      <c r="A716" s="8">
        <v>43585</v>
      </c>
      <c r="B716">
        <v>0.9</v>
      </c>
    </row>
    <row r="717" spans="1:2" x14ac:dyDescent="0.25">
      <c r="A717" s="8">
        <v>43616</v>
      </c>
      <c r="B717">
        <v>0.6</v>
      </c>
    </row>
    <row r="718" spans="1:2" x14ac:dyDescent="0.25">
      <c r="A718" s="8">
        <v>43646</v>
      </c>
      <c r="B718">
        <v>0</v>
      </c>
    </row>
    <row r="719" spans="1:2" x14ac:dyDescent="0.25">
      <c r="A719" s="8">
        <v>43677</v>
      </c>
      <c r="B719">
        <v>-0.3</v>
      </c>
    </row>
    <row r="720" spans="1:2" x14ac:dyDescent="0.25">
      <c r="A720" s="8">
        <v>43708</v>
      </c>
      <c r="B720">
        <v>-0.8</v>
      </c>
    </row>
    <row r="721" spans="1:2" x14ac:dyDescent="0.25">
      <c r="A721" s="8">
        <v>43738</v>
      </c>
      <c r="B721">
        <v>-1.2</v>
      </c>
    </row>
    <row r="722" spans="1:2" x14ac:dyDescent="0.25">
      <c r="A722" s="8">
        <v>43769</v>
      </c>
      <c r="B722">
        <v>-1.6</v>
      </c>
    </row>
    <row r="723" spans="1:2" x14ac:dyDescent="0.25">
      <c r="A723" s="8">
        <v>43799</v>
      </c>
      <c r="B723">
        <v>-1.4</v>
      </c>
    </row>
    <row r="724" spans="1:2" x14ac:dyDescent="0.25">
      <c r="A724" s="8">
        <v>43830</v>
      </c>
      <c r="B724">
        <v>-0.5</v>
      </c>
    </row>
    <row r="725" spans="1:2" x14ac:dyDescent="0.25">
      <c r="A725" s="8">
        <v>43861</v>
      </c>
      <c r="B725">
        <v>0.1</v>
      </c>
    </row>
    <row r="726" spans="1:2" x14ac:dyDescent="0.25">
      <c r="A726" s="8">
        <v>43890</v>
      </c>
      <c r="B726">
        <v>-0.4</v>
      </c>
    </row>
    <row r="727" spans="1:2" x14ac:dyDescent="0.25">
      <c r="A727" s="8">
        <v>43921</v>
      </c>
      <c r="B727">
        <v>-1.5</v>
      </c>
    </row>
    <row r="728" spans="1:2" x14ac:dyDescent="0.25">
      <c r="A728" s="8">
        <v>43951</v>
      </c>
      <c r="B728">
        <v>-3.1</v>
      </c>
    </row>
    <row r="729" spans="1:2" x14ac:dyDescent="0.25">
      <c r="A729" s="8">
        <v>43982</v>
      </c>
      <c r="B729">
        <v>-3.7</v>
      </c>
    </row>
    <row r="730" spans="1:2" x14ac:dyDescent="0.25">
      <c r="A730" s="8">
        <v>44012</v>
      </c>
      <c r="B730">
        <v>-3</v>
      </c>
    </row>
    <row r="731" spans="1:2" x14ac:dyDescent="0.25">
      <c r="A731" s="8">
        <v>44043</v>
      </c>
      <c r="B731">
        <v>-2.4</v>
      </c>
    </row>
    <row r="732" spans="1:2" x14ac:dyDescent="0.25">
      <c r="A732" s="8">
        <v>44074</v>
      </c>
      <c r="B732">
        <v>-2</v>
      </c>
    </row>
    <row r="733" spans="1:2" x14ac:dyDescent="0.25">
      <c r="A733" s="8">
        <v>44104</v>
      </c>
      <c r="B733">
        <v>-2.1</v>
      </c>
    </row>
    <row r="734" spans="1:2" x14ac:dyDescent="0.25">
      <c r="A734" s="8">
        <v>44135</v>
      </c>
      <c r="B734">
        <v>-2.1</v>
      </c>
    </row>
    <row r="735" spans="1:2" x14ac:dyDescent="0.25">
      <c r="A735" s="8">
        <v>44165</v>
      </c>
      <c r="B735">
        <v>-1.5</v>
      </c>
    </row>
    <row r="736" spans="1:2" x14ac:dyDescent="0.25">
      <c r="A736" s="8">
        <v>44196</v>
      </c>
      <c r="B736">
        <v>-0.4</v>
      </c>
    </row>
    <row r="737" spans="1:2" x14ac:dyDescent="0.25">
      <c r="A737" s="8">
        <v>44227</v>
      </c>
      <c r="B737">
        <v>0.3</v>
      </c>
    </row>
    <row r="738" spans="1:2" x14ac:dyDescent="0.25">
      <c r="A738" s="8">
        <v>44255</v>
      </c>
      <c r="B738">
        <v>1.7</v>
      </c>
    </row>
    <row r="739" spans="1:2" x14ac:dyDescent="0.25">
      <c r="A739" s="8">
        <v>44286</v>
      </c>
      <c r="B739">
        <v>4.4000000000000004</v>
      </c>
    </row>
    <row r="740" spans="1:2" x14ac:dyDescent="0.25">
      <c r="A740" s="8">
        <v>44316</v>
      </c>
      <c r="B740">
        <v>6.8</v>
      </c>
    </row>
    <row r="741" spans="1:2" x14ac:dyDescent="0.25">
      <c r="A741" s="8">
        <v>44347</v>
      </c>
      <c r="B741">
        <v>9</v>
      </c>
    </row>
    <row r="742" spans="1:2" x14ac:dyDescent="0.25">
      <c r="A742" s="8">
        <v>44377</v>
      </c>
      <c r="B742">
        <v>8.8000000000000007</v>
      </c>
    </row>
    <row r="743" spans="1:2" x14ac:dyDescent="0.25">
      <c r="A743" s="8">
        <v>44408</v>
      </c>
      <c r="B743">
        <v>9</v>
      </c>
    </row>
    <row r="744" spans="1:2" x14ac:dyDescent="0.25">
      <c r="A744" s="8">
        <v>44439</v>
      </c>
      <c r="B744">
        <v>9.5</v>
      </c>
    </row>
    <row r="745" spans="1:2" x14ac:dyDescent="0.25">
      <c r="A745" s="8">
        <v>44469</v>
      </c>
      <c r="B745">
        <v>10.7</v>
      </c>
    </row>
    <row r="746" spans="1:2" x14ac:dyDescent="0.25">
      <c r="A746" s="8">
        <v>44500</v>
      </c>
      <c r="B746">
        <v>13.5</v>
      </c>
    </row>
    <row r="747" spans="1:2" x14ac:dyDescent="0.25">
      <c r="A747" s="8">
        <v>44530</v>
      </c>
      <c r="B747">
        <v>12.9</v>
      </c>
    </row>
    <row r="748" spans="1:2" x14ac:dyDescent="0.25">
      <c r="A748" s="8">
        <v>44561</v>
      </c>
      <c r="B748">
        <v>10.3</v>
      </c>
    </row>
    <row r="749" spans="1:2" x14ac:dyDescent="0.25">
      <c r="A749" s="8">
        <v>44592</v>
      </c>
      <c r="B749">
        <v>9.1</v>
      </c>
    </row>
    <row r="750" spans="1:2" x14ac:dyDescent="0.25">
      <c r="A750" s="8">
        <v>44620</v>
      </c>
      <c r="B750">
        <v>8.8000000000000007</v>
      </c>
    </row>
    <row r="751" spans="1:2" x14ac:dyDescent="0.25">
      <c r="A751" s="8">
        <v>44651</v>
      </c>
      <c r="B751">
        <v>8.3000000000000007</v>
      </c>
    </row>
    <row r="752" spans="1:2" x14ac:dyDescent="0.25">
      <c r="A752" s="8">
        <v>44681</v>
      </c>
      <c r="B752">
        <v>8</v>
      </c>
    </row>
    <row r="753" spans="1:2" x14ac:dyDescent="0.25">
      <c r="A753" s="8">
        <v>44712</v>
      </c>
      <c r="B753">
        <v>6.4</v>
      </c>
    </row>
    <row r="754" spans="1:2" x14ac:dyDescent="0.25">
      <c r="A754" s="8">
        <v>44742</v>
      </c>
      <c r="B754">
        <v>6.1</v>
      </c>
    </row>
    <row r="755" spans="1:2" x14ac:dyDescent="0.25">
      <c r="A755" s="8">
        <v>44773</v>
      </c>
      <c r="B755">
        <v>4.2</v>
      </c>
    </row>
    <row r="756" spans="1:2" x14ac:dyDescent="0.25">
      <c r="A756" s="8">
        <v>44804</v>
      </c>
      <c r="B756">
        <v>2.2999999999999998</v>
      </c>
    </row>
    <row r="757" spans="1:2" x14ac:dyDescent="0.25">
      <c r="A757" s="8">
        <v>44834</v>
      </c>
      <c r="B757">
        <v>0.9</v>
      </c>
    </row>
    <row r="758" spans="1:2" x14ac:dyDescent="0.25">
      <c r="A758" s="8">
        <v>44865</v>
      </c>
      <c r="B758">
        <v>-1.3</v>
      </c>
    </row>
    <row r="759" spans="1:2" x14ac:dyDescent="0.25">
      <c r="A759" s="8">
        <v>44895</v>
      </c>
      <c r="B759">
        <v>-1.3</v>
      </c>
    </row>
    <row r="760" spans="1:2" x14ac:dyDescent="0.25">
      <c r="A760" s="8">
        <v>44926</v>
      </c>
      <c r="B760">
        <v>-0.7</v>
      </c>
    </row>
    <row r="761" spans="1:2" x14ac:dyDescent="0.25">
      <c r="A761" s="8">
        <v>44957</v>
      </c>
      <c r="B761">
        <v>-0.8</v>
      </c>
    </row>
    <row r="762" spans="1:2" x14ac:dyDescent="0.25">
      <c r="A762" s="8">
        <v>44985</v>
      </c>
      <c r="B762">
        <v>-1.4</v>
      </c>
    </row>
    <row r="763" spans="1:2" x14ac:dyDescent="0.25">
      <c r="A763" s="8">
        <v>45016</v>
      </c>
      <c r="B763">
        <v>-2.5</v>
      </c>
    </row>
    <row r="764" spans="1:2" x14ac:dyDescent="0.25">
      <c r="A764" s="8">
        <v>45046</v>
      </c>
      <c r="B764">
        <v>-3.6</v>
      </c>
    </row>
    <row r="765" spans="1:2" x14ac:dyDescent="0.25">
      <c r="A765" s="8">
        <v>45077</v>
      </c>
      <c r="B765">
        <v>-4.5999999999999996</v>
      </c>
    </row>
    <row r="766" spans="1:2" x14ac:dyDescent="0.25">
      <c r="A766" s="8">
        <v>45107</v>
      </c>
      <c r="B766">
        <v>-5.4</v>
      </c>
    </row>
    <row r="767" spans="1:2" x14ac:dyDescent="0.25">
      <c r="A767" s="8">
        <v>45138</v>
      </c>
      <c r="B767">
        <v>-4.4000000000000004</v>
      </c>
    </row>
    <row r="768" spans="1:2" x14ac:dyDescent="0.25">
      <c r="A768" s="8">
        <v>45169</v>
      </c>
      <c r="B768">
        <v>-3</v>
      </c>
    </row>
    <row r="769" spans="1:2" x14ac:dyDescent="0.25">
      <c r="A769" s="8">
        <v>45199</v>
      </c>
      <c r="B769">
        <v>-2.5</v>
      </c>
    </row>
    <row r="770" spans="1:2" x14ac:dyDescent="0.25">
      <c r="A770" s="8">
        <v>45230</v>
      </c>
      <c r="B770">
        <v>-2.6</v>
      </c>
    </row>
    <row r="771" spans="1:2" x14ac:dyDescent="0.25">
      <c r="A771" s="8">
        <v>45260</v>
      </c>
      <c r="B771">
        <v>-3</v>
      </c>
    </row>
    <row r="772" spans="1:2" x14ac:dyDescent="0.25">
      <c r="A772" s="8">
        <v>45291</v>
      </c>
      <c r="B772">
        <v>-2.7</v>
      </c>
    </row>
    <row r="773" spans="1:2" x14ac:dyDescent="0.25">
      <c r="A773" s="8">
        <v>45322</v>
      </c>
      <c r="B773">
        <v>-2.5</v>
      </c>
    </row>
    <row r="774" spans="1:2" x14ac:dyDescent="0.25">
      <c r="A774" s="8">
        <v>45351</v>
      </c>
      <c r="B774">
        <v>-2.7</v>
      </c>
    </row>
    <row r="775" spans="1:2" x14ac:dyDescent="0.25">
      <c r="A775" s="8">
        <v>45382</v>
      </c>
      <c r="B775">
        <v>-2.8</v>
      </c>
    </row>
    <row r="776" spans="1:2" x14ac:dyDescent="0.25">
      <c r="A776" s="8">
        <v>45412</v>
      </c>
      <c r="B776">
        <v>-2.5</v>
      </c>
    </row>
    <row r="777" spans="1:2" x14ac:dyDescent="0.25">
      <c r="A777" s="8">
        <v>45443</v>
      </c>
      <c r="B777">
        <v>-1.4</v>
      </c>
    </row>
    <row r="778" spans="1:2" x14ac:dyDescent="0.25">
      <c r="A778" s="8">
        <v>45473</v>
      </c>
      <c r="B778">
        <v>-0.8</v>
      </c>
    </row>
    <row r="779" spans="1:2" x14ac:dyDescent="0.25">
      <c r="A779" s="8">
        <v>45504</v>
      </c>
      <c r="B779">
        <v>-0.8</v>
      </c>
    </row>
    <row r="780" spans="1:2" x14ac:dyDescent="0.25">
      <c r="A780" s="8">
        <v>45535</v>
      </c>
      <c r="B780">
        <v>-1.8</v>
      </c>
    </row>
    <row r="781" spans="1:2" x14ac:dyDescent="0.25">
      <c r="A781" s="8">
        <v>45565</v>
      </c>
      <c r="B781">
        <v>-2.8</v>
      </c>
    </row>
    <row r="782" spans="1:2" x14ac:dyDescent="0.25">
      <c r="A782" s="8">
        <v>45596</v>
      </c>
      <c r="B782">
        <v>-2.9</v>
      </c>
    </row>
    <row r="783" spans="1:2" x14ac:dyDescent="0.25">
      <c r="A783" s="8">
        <v>45626</v>
      </c>
      <c r="B783">
        <v>-2.5</v>
      </c>
    </row>
    <row r="784" spans="1:2" x14ac:dyDescent="0.25">
      <c r="A784" s="8">
        <v>45657</v>
      </c>
      <c r="B784">
        <v>-2.2999999999999998</v>
      </c>
    </row>
    <row r="785" spans="1:2" x14ac:dyDescent="0.25">
      <c r="A785" s="8">
        <v>45688</v>
      </c>
      <c r="B785">
        <v>-2.2999999999999998</v>
      </c>
    </row>
    <row r="786" spans="1:2" x14ac:dyDescent="0.25">
      <c r="A786" s="8">
        <v>45716</v>
      </c>
      <c r="B786">
        <v>-2.2000000000000002</v>
      </c>
    </row>
    <row r="787" spans="1:2" x14ac:dyDescent="0.25">
      <c r="A787" s="8">
        <v>45747</v>
      </c>
      <c r="B787">
        <v>-2.5</v>
      </c>
    </row>
    <row r="788" spans="1:2" x14ac:dyDescent="0.25">
      <c r="A788" s="8">
        <v>45777</v>
      </c>
      <c r="B788">
        <v>-2.7</v>
      </c>
    </row>
    <row r="789" spans="1:2" x14ac:dyDescent="0.25">
      <c r="A789" s="8">
        <v>45808</v>
      </c>
      <c r="B789">
        <v>-3.3</v>
      </c>
    </row>
    <row r="790" spans="1:2" x14ac:dyDescent="0.25">
      <c r="A790" s="8">
        <v>45838</v>
      </c>
      <c r="B790">
        <v>-3.6</v>
      </c>
    </row>
    <row r="791" spans="1:2" x14ac:dyDescent="0.25">
      <c r="A791" s="8">
        <v>45869</v>
      </c>
      <c r="B791">
        <v>-3.6</v>
      </c>
    </row>
    <row r="792" spans="1:2" x14ac:dyDescent="0.25">
      <c r="A792" s="8">
        <v>45900</v>
      </c>
      <c r="B792">
        <v>-2.9</v>
      </c>
    </row>
    <row r="793" spans="1:2" x14ac:dyDescent="0.25">
      <c r="A793" s="8">
        <v>45930</v>
      </c>
      <c r="B793">
        <v>-2.2999999999999998</v>
      </c>
    </row>
    <row r="794" spans="1:2" x14ac:dyDescent="0.25">
      <c r="A794" s="8">
        <v>45961</v>
      </c>
      <c r="B794">
        <v>-2.1</v>
      </c>
    </row>
    <row r="795" spans="1:2" x14ac:dyDescent="0.25">
      <c r="A795" s="8">
        <v>45991</v>
      </c>
      <c r="B795">
        <v>-2.2000000000000002</v>
      </c>
    </row>
    <row r="796" spans="1:2" x14ac:dyDescent="0.25">
      <c r="A796" s="8">
        <v>46022</v>
      </c>
      <c r="B796">
        <v>-1.9</v>
      </c>
    </row>
    <row r="797" spans="1:2" x14ac:dyDescent="0.25">
      <c r="A797" s="8">
        <v>46053</v>
      </c>
      <c r="B797">
        <v>-1.4</v>
      </c>
    </row>
    <row r="811" spans="1:4" x14ac:dyDescent="0.25">
      <c r="A811" s="6" t="s">
        <v>103</v>
      </c>
      <c r="B811" s="6" t="s">
        <v>104</v>
      </c>
      <c r="C811" s="6" t="s">
        <v>105</v>
      </c>
      <c r="D811" s="6" t="s">
        <v>54</v>
      </c>
    </row>
    <row r="812" spans="1:4" x14ac:dyDescent="0.25">
      <c r="A812" s="8">
        <f ca="1">_xll.BDH("CNCPIYOY Index","PX_LAST","02/01/2016",TODAY(),"Per=M","cols=2;rows=121")</f>
        <v>42400</v>
      </c>
      <c r="B812">
        <v>1.8</v>
      </c>
    </row>
    <row r="813" spans="1:4" x14ac:dyDescent="0.25">
      <c r="A813" s="8">
        <v>42429</v>
      </c>
      <c r="B813">
        <v>2.2999999999999998</v>
      </c>
    </row>
    <row r="814" spans="1:4" x14ac:dyDescent="0.25">
      <c r="A814" s="8">
        <v>42460</v>
      </c>
      <c r="B814">
        <v>2.2999999999999998</v>
      </c>
    </row>
    <row r="815" spans="1:4" x14ac:dyDescent="0.25">
      <c r="A815" s="8">
        <v>42490</v>
      </c>
      <c r="B815">
        <v>2.2999999999999998</v>
      </c>
    </row>
    <row r="816" spans="1:4" x14ac:dyDescent="0.25">
      <c r="A816" s="8">
        <v>42521</v>
      </c>
      <c r="B816">
        <v>2</v>
      </c>
    </row>
    <row r="817" spans="1:2" x14ac:dyDescent="0.25">
      <c r="A817" s="8">
        <v>42551</v>
      </c>
      <c r="B817">
        <v>1.9</v>
      </c>
    </row>
    <row r="818" spans="1:2" x14ac:dyDescent="0.25">
      <c r="A818" s="8">
        <v>42582</v>
      </c>
      <c r="B818">
        <v>1.8</v>
      </c>
    </row>
    <row r="819" spans="1:2" x14ac:dyDescent="0.25">
      <c r="A819" s="8">
        <v>42613</v>
      </c>
      <c r="B819">
        <v>1.3</v>
      </c>
    </row>
    <row r="820" spans="1:2" x14ac:dyDescent="0.25">
      <c r="A820" s="8">
        <v>42643</v>
      </c>
      <c r="B820">
        <v>1.9</v>
      </c>
    </row>
    <row r="821" spans="1:2" x14ac:dyDescent="0.25">
      <c r="A821" s="8">
        <v>42674</v>
      </c>
      <c r="B821">
        <v>2.1</v>
      </c>
    </row>
    <row r="822" spans="1:2" x14ac:dyDescent="0.25">
      <c r="A822" s="8">
        <v>42704</v>
      </c>
      <c r="B822">
        <v>2.2999999999999998</v>
      </c>
    </row>
    <row r="823" spans="1:2" x14ac:dyDescent="0.25">
      <c r="A823" s="8">
        <v>42735</v>
      </c>
      <c r="B823">
        <v>2.1</v>
      </c>
    </row>
    <row r="824" spans="1:2" x14ac:dyDescent="0.25">
      <c r="A824" s="8">
        <v>42766</v>
      </c>
      <c r="B824">
        <v>2.5</v>
      </c>
    </row>
    <row r="825" spans="1:2" x14ac:dyDescent="0.25">
      <c r="A825" s="8">
        <v>42794</v>
      </c>
      <c r="B825">
        <v>0.8</v>
      </c>
    </row>
    <row r="826" spans="1:2" x14ac:dyDescent="0.25">
      <c r="A826" s="8">
        <v>42825</v>
      </c>
      <c r="B826">
        <v>0.9</v>
      </c>
    </row>
    <row r="827" spans="1:2" x14ac:dyDescent="0.25">
      <c r="A827" s="8">
        <v>42855</v>
      </c>
      <c r="B827">
        <v>1.2</v>
      </c>
    </row>
    <row r="828" spans="1:2" x14ac:dyDescent="0.25">
      <c r="A828" s="8">
        <v>42886</v>
      </c>
      <c r="B828">
        <v>1.5</v>
      </c>
    </row>
    <row r="829" spans="1:2" x14ac:dyDescent="0.25">
      <c r="A829" s="8">
        <v>42916</v>
      </c>
      <c r="B829">
        <v>1.5</v>
      </c>
    </row>
    <row r="830" spans="1:2" x14ac:dyDescent="0.25">
      <c r="A830" s="8">
        <v>42947</v>
      </c>
      <c r="B830">
        <v>1.4</v>
      </c>
    </row>
    <row r="831" spans="1:2" x14ac:dyDescent="0.25">
      <c r="A831" s="8">
        <v>42978</v>
      </c>
      <c r="B831">
        <v>1.8</v>
      </c>
    </row>
    <row r="832" spans="1:2" x14ac:dyDescent="0.25">
      <c r="A832" s="8">
        <v>43008</v>
      </c>
      <c r="B832">
        <v>1.6</v>
      </c>
    </row>
    <row r="833" spans="1:2" x14ac:dyDescent="0.25">
      <c r="A833" s="8">
        <v>43039</v>
      </c>
      <c r="B833">
        <v>1.9</v>
      </c>
    </row>
    <row r="834" spans="1:2" x14ac:dyDescent="0.25">
      <c r="A834" s="8">
        <v>43069</v>
      </c>
      <c r="B834">
        <v>1.7</v>
      </c>
    </row>
    <row r="835" spans="1:2" x14ac:dyDescent="0.25">
      <c r="A835" s="8">
        <v>43100</v>
      </c>
      <c r="B835">
        <v>1.8</v>
      </c>
    </row>
    <row r="836" spans="1:2" x14ac:dyDescent="0.25">
      <c r="A836" s="8">
        <v>43131</v>
      </c>
      <c r="B836">
        <v>1.5</v>
      </c>
    </row>
    <row r="837" spans="1:2" x14ac:dyDescent="0.25">
      <c r="A837" s="8">
        <v>43159</v>
      </c>
      <c r="B837">
        <v>2.9</v>
      </c>
    </row>
    <row r="838" spans="1:2" x14ac:dyDescent="0.25">
      <c r="A838" s="8">
        <v>43190</v>
      </c>
      <c r="B838">
        <v>2.1</v>
      </c>
    </row>
    <row r="839" spans="1:2" x14ac:dyDescent="0.25">
      <c r="A839" s="8">
        <v>43220</v>
      </c>
      <c r="B839">
        <v>1.8</v>
      </c>
    </row>
    <row r="840" spans="1:2" x14ac:dyDescent="0.25">
      <c r="A840" s="8">
        <v>43251</v>
      </c>
      <c r="B840">
        <v>1.8</v>
      </c>
    </row>
    <row r="841" spans="1:2" x14ac:dyDescent="0.25">
      <c r="A841" s="8">
        <v>43281</v>
      </c>
      <c r="B841">
        <v>1.9</v>
      </c>
    </row>
    <row r="842" spans="1:2" x14ac:dyDescent="0.25">
      <c r="A842" s="8">
        <v>43312</v>
      </c>
      <c r="B842">
        <v>2.1</v>
      </c>
    </row>
    <row r="843" spans="1:2" x14ac:dyDescent="0.25">
      <c r="A843" s="8">
        <v>43343</v>
      </c>
      <c r="B843">
        <v>2.2999999999999998</v>
      </c>
    </row>
    <row r="844" spans="1:2" x14ac:dyDescent="0.25">
      <c r="A844" s="8">
        <v>43373</v>
      </c>
      <c r="B844">
        <v>2.5</v>
      </c>
    </row>
    <row r="845" spans="1:2" x14ac:dyDescent="0.25">
      <c r="A845" s="8">
        <v>43404</v>
      </c>
      <c r="B845">
        <v>2.5</v>
      </c>
    </row>
    <row r="846" spans="1:2" x14ac:dyDescent="0.25">
      <c r="A846" s="8">
        <v>43434</v>
      </c>
      <c r="B846">
        <v>2.2000000000000002</v>
      </c>
    </row>
    <row r="847" spans="1:2" x14ac:dyDescent="0.25">
      <c r="A847" s="8">
        <v>43465</v>
      </c>
      <c r="B847">
        <v>1.9</v>
      </c>
    </row>
    <row r="848" spans="1:2" x14ac:dyDescent="0.25">
      <c r="A848" s="8">
        <v>43496</v>
      </c>
      <c r="B848">
        <v>1.7</v>
      </c>
    </row>
    <row r="849" spans="1:2" x14ac:dyDescent="0.25">
      <c r="A849" s="8">
        <v>43524</v>
      </c>
      <c r="B849">
        <v>1.5</v>
      </c>
    </row>
    <row r="850" spans="1:2" x14ac:dyDescent="0.25">
      <c r="A850" s="8">
        <v>43555</v>
      </c>
      <c r="B850">
        <v>2.2999999999999998</v>
      </c>
    </row>
    <row r="851" spans="1:2" x14ac:dyDescent="0.25">
      <c r="A851" s="8">
        <v>43585</v>
      </c>
      <c r="B851">
        <v>2.5</v>
      </c>
    </row>
    <row r="852" spans="1:2" x14ac:dyDescent="0.25">
      <c r="A852" s="8">
        <v>43616</v>
      </c>
      <c r="B852">
        <v>2.7</v>
      </c>
    </row>
    <row r="853" spans="1:2" x14ac:dyDescent="0.25">
      <c r="A853" s="8">
        <v>43646</v>
      </c>
      <c r="B853">
        <v>2.7</v>
      </c>
    </row>
    <row r="854" spans="1:2" x14ac:dyDescent="0.25">
      <c r="A854" s="8">
        <v>43677</v>
      </c>
      <c r="B854">
        <v>2.8</v>
      </c>
    </row>
    <row r="855" spans="1:2" x14ac:dyDescent="0.25">
      <c r="A855" s="8">
        <v>43708</v>
      </c>
      <c r="B855">
        <v>2.8</v>
      </c>
    </row>
    <row r="856" spans="1:2" x14ac:dyDescent="0.25">
      <c r="A856" s="8">
        <v>43738</v>
      </c>
      <c r="B856">
        <v>3</v>
      </c>
    </row>
    <row r="857" spans="1:2" x14ac:dyDescent="0.25">
      <c r="A857" s="8">
        <v>43769</v>
      </c>
      <c r="B857">
        <v>3.8</v>
      </c>
    </row>
    <row r="858" spans="1:2" x14ac:dyDescent="0.25">
      <c r="A858" s="8">
        <v>43799</v>
      </c>
      <c r="B858">
        <v>4.5</v>
      </c>
    </row>
    <row r="859" spans="1:2" x14ac:dyDescent="0.25">
      <c r="A859" s="8">
        <v>43830</v>
      </c>
      <c r="B859">
        <v>4.5</v>
      </c>
    </row>
    <row r="860" spans="1:2" x14ac:dyDescent="0.25">
      <c r="A860" s="8">
        <v>43861</v>
      </c>
      <c r="B860">
        <v>5.4</v>
      </c>
    </row>
    <row r="861" spans="1:2" x14ac:dyDescent="0.25">
      <c r="A861" s="8">
        <v>43890</v>
      </c>
      <c r="B861">
        <v>5.2</v>
      </c>
    </row>
    <row r="862" spans="1:2" x14ac:dyDescent="0.25">
      <c r="A862" s="8">
        <v>43921</v>
      </c>
      <c r="B862">
        <v>4.3</v>
      </c>
    </row>
    <row r="863" spans="1:2" x14ac:dyDescent="0.25">
      <c r="A863" s="8">
        <v>43951</v>
      </c>
      <c r="B863">
        <v>3.3</v>
      </c>
    </row>
    <row r="864" spans="1:2" x14ac:dyDescent="0.25">
      <c r="A864" s="8">
        <v>43982</v>
      </c>
      <c r="B864">
        <v>2.4</v>
      </c>
    </row>
    <row r="865" spans="1:2" x14ac:dyDescent="0.25">
      <c r="A865" s="8">
        <v>44012</v>
      </c>
      <c r="B865">
        <v>2.5</v>
      </c>
    </row>
    <row r="866" spans="1:2" x14ac:dyDescent="0.25">
      <c r="A866" s="8">
        <v>44043</v>
      </c>
      <c r="B866">
        <v>2.7</v>
      </c>
    </row>
    <row r="867" spans="1:2" x14ac:dyDescent="0.25">
      <c r="A867" s="8">
        <v>44074</v>
      </c>
      <c r="B867">
        <v>2.4</v>
      </c>
    </row>
    <row r="868" spans="1:2" x14ac:dyDescent="0.25">
      <c r="A868" s="8">
        <v>44104</v>
      </c>
      <c r="B868">
        <v>1.7</v>
      </c>
    </row>
    <row r="869" spans="1:2" x14ac:dyDescent="0.25">
      <c r="A869" s="8">
        <v>44135</v>
      </c>
      <c r="B869">
        <v>0.5</v>
      </c>
    </row>
    <row r="870" spans="1:2" x14ac:dyDescent="0.25">
      <c r="A870" s="8">
        <v>44165</v>
      </c>
      <c r="B870">
        <v>-0.5</v>
      </c>
    </row>
    <row r="871" spans="1:2" x14ac:dyDescent="0.25">
      <c r="A871" s="8">
        <v>44196</v>
      </c>
      <c r="B871">
        <v>0.2</v>
      </c>
    </row>
    <row r="872" spans="1:2" x14ac:dyDescent="0.25">
      <c r="A872" s="8">
        <v>44227</v>
      </c>
      <c r="B872">
        <v>-0.3</v>
      </c>
    </row>
    <row r="873" spans="1:2" x14ac:dyDescent="0.25">
      <c r="A873" s="8">
        <v>44255</v>
      </c>
      <c r="B873">
        <v>-0.2</v>
      </c>
    </row>
    <row r="874" spans="1:2" x14ac:dyDescent="0.25">
      <c r="A874" s="8">
        <v>44286</v>
      </c>
      <c r="B874">
        <v>0.4</v>
      </c>
    </row>
    <row r="875" spans="1:2" x14ac:dyDescent="0.25">
      <c r="A875" s="8">
        <v>44316</v>
      </c>
      <c r="B875">
        <v>0.9</v>
      </c>
    </row>
    <row r="876" spans="1:2" x14ac:dyDescent="0.25">
      <c r="A876" s="8">
        <v>44347</v>
      </c>
      <c r="B876">
        <v>1.3</v>
      </c>
    </row>
    <row r="877" spans="1:2" x14ac:dyDescent="0.25">
      <c r="A877" s="8">
        <v>44377</v>
      </c>
      <c r="B877">
        <v>1.1000000000000001</v>
      </c>
    </row>
    <row r="878" spans="1:2" x14ac:dyDescent="0.25">
      <c r="A878" s="8">
        <v>44408</v>
      </c>
      <c r="B878">
        <v>1</v>
      </c>
    </row>
    <row r="879" spans="1:2" x14ac:dyDescent="0.25">
      <c r="A879" s="8">
        <v>44439</v>
      </c>
      <c r="B879">
        <v>0.8</v>
      </c>
    </row>
    <row r="880" spans="1:2" x14ac:dyDescent="0.25">
      <c r="A880" s="8">
        <v>44469</v>
      </c>
      <c r="B880">
        <v>0.7</v>
      </c>
    </row>
    <row r="881" spans="1:2" x14ac:dyDescent="0.25">
      <c r="A881" s="8">
        <v>44500</v>
      </c>
      <c r="B881">
        <v>1.5</v>
      </c>
    </row>
    <row r="882" spans="1:2" x14ac:dyDescent="0.25">
      <c r="A882" s="8">
        <v>44530</v>
      </c>
      <c r="B882">
        <v>2.2999999999999998</v>
      </c>
    </row>
    <row r="883" spans="1:2" x14ac:dyDescent="0.25">
      <c r="A883" s="8">
        <v>44561</v>
      </c>
      <c r="B883">
        <v>1.5</v>
      </c>
    </row>
    <row r="884" spans="1:2" x14ac:dyDescent="0.25">
      <c r="A884" s="8">
        <v>44592</v>
      </c>
      <c r="B884">
        <v>0.9</v>
      </c>
    </row>
    <row r="885" spans="1:2" x14ac:dyDescent="0.25">
      <c r="A885" s="8">
        <v>44620</v>
      </c>
      <c r="B885">
        <v>0.9</v>
      </c>
    </row>
    <row r="886" spans="1:2" x14ac:dyDescent="0.25">
      <c r="A886" s="8">
        <v>44651</v>
      </c>
      <c r="B886">
        <v>1.5</v>
      </c>
    </row>
    <row r="887" spans="1:2" x14ac:dyDescent="0.25">
      <c r="A887" s="8">
        <v>44681</v>
      </c>
      <c r="B887">
        <v>2.1</v>
      </c>
    </row>
    <row r="888" spans="1:2" x14ac:dyDescent="0.25">
      <c r="A888" s="8">
        <v>44712</v>
      </c>
      <c r="B888">
        <v>2.1</v>
      </c>
    </row>
    <row r="889" spans="1:2" x14ac:dyDescent="0.25">
      <c r="A889" s="8">
        <v>44742</v>
      </c>
      <c r="B889">
        <v>2.5</v>
      </c>
    </row>
    <row r="890" spans="1:2" x14ac:dyDescent="0.25">
      <c r="A890" s="8">
        <v>44773</v>
      </c>
      <c r="B890">
        <v>2.7</v>
      </c>
    </row>
    <row r="891" spans="1:2" x14ac:dyDescent="0.25">
      <c r="A891" s="8">
        <v>44804</v>
      </c>
      <c r="B891">
        <v>2.5</v>
      </c>
    </row>
    <row r="892" spans="1:2" x14ac:dyDescent="0.25">
      <c r="A892" s="8">
        <v>44834</v>
      </c>
      <c r="B892">
        <v>2.8</v>
      </c>
    </row>
    <row r="893" spans="1:2" x14ac:dyDescent="0.25">
      <c r="A893" s="8">
        <v>44865</v>
      </c>
      <c r="B893">
        <v>2.1</v>
      </c>
    </row>
    <row r="894" spans="1:2" x14ac:dyDescent="0.25">
      <c r="A894" s="8">
        <v>44895</v>
      </c>
      <c r="B894">
        <v>1.6</v>
      </c>
    </row>
    <row r="895" spans="1:2" x14ac:dyDescent="0.25">
      <c r="A895" s="8">
        <v>44926</v>
      </c>
      <c r="B895">
        <v>1.8</v>
      </c>
    </row>
    <row r="896" spans="1:2" x14ac:dyDescent="0.25">
      <c r="A896" s="8">
        <v>44957</v>
      </c>
      <c r="B896">
        <v>2.1</v>
      </c>
    </row>
    <row r="897" spans="1:2" x14ac:dyDescent="0.25">
      <c r="A897" s="8">
        <v>44985</v>
      </c>
      <c r="B897">
        <v>1</v>
      </c>
    </row>
    <row r="898" spans="1:2" x14ac:dyDescent="0.25">
      <c r="A898" s="8">
        <v>45016</v>
      </c>
      <c r="B898">
        <v>0.7</v>
      </c>
    </row>
    <row r="899" spans="1:2" x14ac:dyDescent="0.25">
      <c r="A899" s="8">
        <v>45046</v>
      </c>
      <c r="B899">
        <v>0.1</v>
      </c>
    </row>
    <row r="900" spans="1:2" x14ac:dyDescent="0.25">
      <c r="A900" s="8">
        <v>45077</v>
      </c>
      <c r="B900">
        <v>0.2</v>
      </c>
    </row>
    <row r="901" spans="1:2" x14ac:dyDescent="0.25">
      <c r="A901" s="8">
        <v>45107</v>
      </c>
      <c r="B901">
        <v>0</v>
      </c>
    </row>
    <row r="902" spans="1:2" x14ac:dyDescent="0.25">
      <c r="A902" s="8">
        <v>45138</v>
      </c>
      <c r="B902">
        <v>-0.3</v>
      </c>
    </row>
    <row r="903" spans="1:2" x14ac:dyDescent="0.25">
      <c r="A903" s="8">
        <v>45169</v>
      </c>
      <c r="B903">
        <v>0.1</v>
      </c>
    </row>
    <row r="904" spans="1:2" x14ac:dyDescent="0.25">
      <c r="A904" s="8">
        <v>45199</v>
      </c>
      <c r="B904">
        <v>0</v>
      </c>
    </row>
    <row r="905" spans="1:2" x14ac:dyDescent="0.25">
      <c r="A905" s="8">
        <v>45230</v>
      </c>
      <c r="B905">
        <v>-0.2</v>
      </c>
    </row>
    <row r="906" spans="1:2" x14ac:dyDescent="0.25">
      <c r="A906" s="8">
        <v>45260</v>
      </c>
      <c r="B906">
        <v>-0.5</v>
      </c>
    </row>
    <row r="907" spans="1:2" x14ac:dyDescent="0.25">
      <c r="A907" s="8">
        <v>45291</v>
      </c>
      <c r="B907">
        <v>-0.3</v>
      </c>
    </row>
    <row r="908" spans="1:2" x14ac:dyDescent="0.25">
      <c r="A908" s="8">
        <v>45322</v>
      </c>
      <c r="B908">
        <v>-0.8</v>
      </c>
    </row>
    <row r="909" spans="1:2" x14ac:dyDescent="0.25">
      <c r="A909" s="8">
        <v>45351</v>
      </c>
      <c r="B909">
        <v>0.7</v>
      </c>
    </row>
    <row r="910" spans="1:2" x14ac:dyDescent="0.25">
      <c r="A910" s="8">
        <v>45382</v>
      </c>
      <c r="B910">
        <v>0.1</v>
      </c>
    </row>
    <row r="911" spans="1:2" x14ac:dyDescent="0.25">
      <c r="A911" s="8">
        <v>45412</v>
      </c>
      <c r="B911">
        <v>0.3</v>
      </c>
    </row>
    <row r="912" spans="1:2" x14ac:dyDescent="0.25">
      <c r="A912" s="8">
        <v>45443</v>
      </c>
      <c r="B912">
        <v>0.3</v>
      </c>
    </row>
    <row r="913" spans="1:2" x14ac:dyDescent="0.25">
      <c r="A913" s="8">
        <v>45473</v>
      </c>
      <c r="B913">
        <v>0.2</v>
      </c>
    </row>
    <row r="914" spans="1:2" x14ac:dyDescent="0.25">
      <c r="A914" s="8">
        <v>45504</v>
      </c>
      <c r="B914">
        <v>0.5</v>
      </c>
    </row>
    <row r="915" spans="1:2" x14ac:dyDescent="0.25">
      <c r="A915" s="8">
        <v>45535</v>
      </c>
      <c r="B915">
        <v>0.6</v>
      </c>
    </row>
    <row r="916" spans="1:2" x14ac:dyDescent="0.25">
      <c r="A916" s="8">
        <v>45565</v>
      </c>
      <c r="B916">
        <v>0.4</v>
      </c>
    </row>
    <row r="917" spans="1:2" x14ac:dyDescent="0.25">
      <c r="A917" s="8">
        <v>45596</v>
      </c>
      <c r="B917">
        <v>0.3</v>
      </c>
    </row>
    <row r="918" spans="1:2" x14ac:dyDescent="0.25">
      <c r="A918" s="8">
        <v>45626</v>
      </c>
      <c r="B918">
        <v>0.2</v>
      </c>
    </row>
    <row r="919" spans="1:2" x14ac:dyDescent="0.25">
      <c r="A919" s="8">
        <v>45657</v>
      </c>
      <c r="B919">
        <v>0.1</v>
      </c>
    </row>
    <row r="920" spans="1:2" x14ac:dyDescent="0.25">
      <c r="A920" s="8">
        <v>45688</v>
      </c>
      <c r="B920">
        <v>0.5</v>
      </c>
    </row>
    <row r="921" spans="1:2" x14ac:dyDescent="0.25">
      <c r="A921" s="8">
        <v>45716</v>
      </c>
      <c r="B921">
        <v>-0.7</v>
      </c>
    </row>
    <row r="922" spans="1:2" x14ac:dyDescent="0.25">
      <c r="A922" s="8">
        <v>45747</v>
      </c>
      <c r="B922">
        <v>-0.1</v>
      </c>
    </row>
    <row r="923" spans="1:2" x14ac:dyDescent="0.25">
      <c r="A923" s="8">
        <v>45777</v>
      </c>
      <c r="B923">
        <v>-0.1</v>
      </c>
    </row>
    <row r="924" spans="1:2" x14ac:dyDescent="0.25">
      <c r="A924" s="8">
        <v>45808</v>
      </c>
      <c r="B924">
        <v>-0.1</v>
      </c>
    </row>
    <row r="925" spans="1:2" x14ac:dyDescent="0.25">
      <c r="A925" s="8">
        <v>45838</v>
      </c>
      <c r="B925">
        <v>0.1</v>
      </c>
    </row>
    <row r="926" spans="1:2" x14ac:dyDescent="0.25">
      <c r="A926" s="8">
        <v>45869</v>
      </c>
      <c r="B926">
        <v>0</v>
      </c>
    </row>
    <row r="927" spans="1:2" x14ac:dyDescent="0.25">
      <c r="A927" s="8">
        <v>45900</v>
      </c>
      <c r="B927">
        <v>-0.4</v>
      </c>
    </row>
    <row r="928" spans="1:2" x14ac:dyDescent="0.25">
      <c r="A928" s="8">
        <v>45930</v>
      </c>
      <c r="B928">
        <v>-0.3</v>
      </c>
    </row>
    <row r="929" spans="1:2" x14ac:dyDescent="0.25">
      <c r="A929" s="8">
        <v>45961</v>
      </c>
      <c r="B929">
        <v>0.2</v>
      </c>
    </row>
    <row r="930" spans="1:2" x14ac:dyDescent="0.25">
      <c r="A930" s="8">
        <v>45991</v>
      </c>
      <c r="B930">
        <v>0.7</v>
      </c>
    </row>
    <row r="931" spans="1:2" x14ac:dyDescent="0.25">
      <c r="A931" s="8">
        <v>46022</v>
      </c>
      <c r="B931">
        <v>0.8</v>
      </c>
    </row>
    <row r="932" spans="1:2" x14ac:dyDescent="0.25">
      <c r="A932" s="8">
        <v>46053</v>
      </c>
      <c r="B932">
        <v>0.2</v>
      </c>
    </row>
    <row r="946" spans="1:4" x14ac:dyDescent="0.25">
      <c r="A946" s="6" t="s">
        <v>106</v>
      </c>
      <c r="B946" s="6" t="s">
        <v>107</v>
      </c>
      <c r="C946" s="6" t="s">
        <v>108</v>
      </c>
      <c r="D946" s="6" t="s">
        <v>54</v>
      </c>
    </row>
    <row r="947" spans="1:4" x14ac:dyDescent="0.25">
      <c r="A947" t="str">
        <f ca="1">_xll.BDH("CNNELOYN Index","PX_LAST","02/01/2016",TODAY(),"Per=M")</f>
        <v>#N/A Invalid Security</v>
      </c>
    </row>
    <row r="1081" spans="1:4" x14ac:dyDescent="0.25">
      <c r="A1081" s="6" t="s">
        <v>109</v>
      </c>
      <c r="B1081" s="6" t="s">
        <v>110</v>
      </c>
      <c r="C1081" s="6" t="s">
        <v>111</v>
      </c>
      <c r="D1081" s="6" t="s">
        <v>54</v>
      </c>
    </row>
    <row r="1082" spans="1:4" x14ac:dyDescent="0.25">
      <c r="A1082" s="8">
        <f ca="1">_xll.BDH("SCO1 Comdty","PX_LAST","02/01/2016",TODAY(),"Per=M","cols=2;rows=121")</f>
        <v>42398</v>
      </c>
      <c r="B1082">
        <v>41.17</v>
      </c>
    </row>
    <row r="1083" spans="1:4" x14ac:dyDescent="0.25">
      <c r="A1083" s="8">
        <v>42429</v>
      </c>
      <c r="B1083">
        <v>46.33</v>
      </c>
    </row>
    <row r="1084" spans="1:4" x14ac:dyDescent="0.25">
      <c r="A1084" s="8">
        <v>42460</v>
      </c>
      <c r="B1084">
        <v>55.52</v>
      </c>
    </row>
    <row r="1085" spans="1:4" x14ac:dyDescent="0.25">
      <c r="A1085" s="8">
        <v>42489</v>
      </c>
      <c r="B1085">
        <v>59.58</v>
      </c>
    </row>
    <row r="1086" spans="1:4" x14ac:dyDescent="0.25">
      <c r="A1086" s="8">
        <v>42521</v>
      </c>
      <c r="B1086">
        <v>54.49</v>
      </c>
    </row>
    <row r="1087" spans="1:4" x14ac:dyDescent="0.25">
      <c r="A1087" s="8">
        <v>42551</v>
      </c>
      <c r="B1087">
        <v>51.36</v>
      </c>
    </row>
    <row r="1088" spans="1:4" x14ac:dyDescent="0.25">
      <c r="A1088" s="8">
        <v>42580</v>
      </c>
      <c r="B1088">
        <v>56.61</v>
      </c>
    </row>
    <row r="1089" spans="1:2" x14ac:dyDescent="0.25">
      <c r="A1089" s="8">
        <v>42613</v>
      </c>
      <c r="B1089">
        <v>60.43</v>
      </c>
    </row>
    <row r="1090" spans="1:2" x14ac:dyDescent="0.25">
      <c r="A1090" s="8">
        <v>42643</v>
      </c>
      <c r="B1090">
        <v>56.63</v>
      </c>
    </row>
    <row r="1091" spans="1:2" x14ac:dyDescent="0.25">
      <c r="A1091" s="8">
        <v>42674</v>
      </c>
      <c r="B1091">
        <v>58</v>
      </c>
    </row>
    <row r="1092" spans="1:2" x14ac:dyDescent="0.25">
      <c r="A1092" s="8">
        <v>42704</v>
      </c>
      <c r="B1092">
        <v>72.25</v>
      </c>
    </row>
    <row r="1093" spans="1:2" x14ac:dyDescent="0.25">
      <c r="A1093" s="8">
        <v>42734</v>
      </c>
      <c r="B1093">
        <v>79.75</v>
      </c>
    </row>
    <row r="1094" spans="1:2" x14ac:dyDescent="0.25">
      <c r="A1094" s="8">
        <v>42766</v>
      </c>
      <c r="B1094">
        <v>80.400000000000006</v>
      </c>
    </row>
    <row r="1095" spans="1:2" x14ac:dyDescent="0.25">
      <c r="A1095" s="8">
        <v>42794</v>
      </c>
      <c r="B1095">
        <v>88.07</v>
      </c>
    </row>
    <row r="1096" spans="1:2" x14ac:dyDescent="0.25">
      <c r="A1096" s="8">
        <v>42825</v>
      </c>
      <c r="B1096">
        <v>86.84</v>
      </c>
    </row>
    <row r="1097" spans="1:2" x14ac:dyDescent="0.25">
      <c r="A1097" s="8">
        <v>42853</v>
      </c>
      <c r="B1097">
        <v>69.97</v>
      </c>
    </row>
    <row r="1098" spans="1:2" x14ac:dyDescent="0.25">
      <c r="A1098" s="8">
        <v>42886</v>
      </c>
      <c r="B1098">
        <v>60.71</v>
      </c>
    </row>
    <row r="1099" spans="1:2" x14ac:dyDescent="0.25">
      <c r="A1099" s="8">
        <v>42916</v>
      </c>
      <c r="B1099">
        <v>56.01</v>
      </c>
    </row>
    <row r="1100" spans="1:2" x14ac:dyDescent="0.25">
      <c r="A1100" s="8">
        <v>42947</v>
      </c>
      <c r="B1100">
        <v>66.22</v>
      </c>
    </row>
    <row r="1101" spans="1:2" x14ac:dyDescent="0.25">
      <c r="A1101" s="8">
        <v>42978</v>
      </c>
      <c r="B1101">
        <v>75.11</v>
      </c>
    </row>
    <row r="1102" spans="1:2" x14ac:dyDescent="0.25">
      <c r="A1102" s="8">
        <v>43007</v>
      </c>
      <c r="B1102">
        <v>69.77</v>
      </c>
    </row>
    <row r="1103" spans="1:2" x14ac:dyDescent="0.25">
      <c r="A1103" s="8">
        <v>43039</v>
      </c>
      <c r="B1103">
        <v>60.31</v>
      </c>
    </row>
    <row r="1104" spans="1:2" x14ac:dyDescent="0.25">
      <c r="A1104" s="8">
        <v>43069</v>
      </c>
      <c r="B1104">
        <v>63.36</v>
      </c>
    </row>
    <row r="1105" spans="1:2" x14ac:dyDescent="0.25">
      <c r="A1105" s="8">
        <v>43098</v>
      </c>
      <c r="B1105">
        <v>71.28</v>
      </c>
    </row>
    <row r="1106" spans="1:2" x14ac:dyDescent="0.25">
      <c r="A1106" s="8">
        <v>43131</v>
      </c>
      <c r="B1106">
        <v>75.86</v>
      </c>
    </row>
    <row r="1107" spans="1:2" x14ac:dyDescent="0.25">
      <c r="A1107" s="8">
        <v>43159</v>
      </c>
      <c r="B1107">
        <v>77.459999999999994</v>
      </c>
    </row>
    <row r="1108" spans="1:2" x14ac:dyDescent="0.25">
      <c r="A1108" s="8">
        <v>43189</v>
      </c>
      <c r="B1108">
        <v>64.86</v>
      </c>
    </row>
    <row r="1109" spans="1:2" x14ac:dyDescent="0.25">
      <c r="A1109" s="8">
        <v>43220</v>
      </c>
      <c r="B1109">
        <v>65.27</v>
      </c>
    </row>
    <row r="1110" spans="1:2" x14ac:dyDescent="0.25">
      <c r="A1110" s="8">
        <v>43251</v>
      </c>
      <c r="B1110">
        <v>65.95</v>
      </c>
    </row>
    <row r="1111" spans="1:2" x14ac:dyDescent="0.25">
      <c r="A1111" s="8">
        <v>43280</v>
      </c>
      <c r="B1111">
        <v>64.8</v>
      </c>
    </row>
    <row r="1112" spans="1:2" x14ac:dyDescent="0.25">
      <c r="A1112" s="8">
        <v>43312</v>
      </c>
      <c r="B1112">
        <v>64.349999999999994</v>
      </c>
    </row>
    <row r="1113" spans="1:2" x14ac:dyDescent="0.25">
      <c r="A1113" s="8">
        <v>43343</v>
      </c>
      <c r="B1113">
        <v>67.16</v>
      </c>
    </row>
    <row r="1114" spans="1:2" x14ac:dyDescent="0.25">
      <c r="A1114" s="8">
        <v>43371</v>
      </c>
      <c r="B1114">
        <v>68.73</v>
      </c>
    </row>
    <row r="1115" spans="1:2" x14ac:dyDescent="0.25">
      <c r="A1115" s="8">
        <v>43404</v>
      </c>
      <c r="B1115">
        <v>72.81</v>
      </c>
    </row>
    <row r="1116" spans="1:2" x14ac:dyDescent="0.25">
      <c r="A1116" s="8">
        <v>43434</v>
      </c>
      <c r="B1116">
        <v>72.28</v>
      </c>
    </row>
    <row r="1117" spans="1:2" x14ac:dyDescent="0.25">
      <c r="A1117" s="8">
        <v>43465</v>
      </c>
      <c r="B1117">
        <v>71.12</v>
      </c>
    </row>
    <row r="1118" spans="1:2" x14ac:dyDescent="0.25">
      <c r="A1118" s="8">
        <v>43496</v>
      </c>
      <c r="B1118">
        <v>76.03</v>
      </c>
    </row>
    <row r="1119" spans="1:2" x14ac:dyDescent="0.25">
      <c r="A1119" s="8">
        <v>43524</v>
      </c>
      <c r="B1119">
        <v>87.33</v>
      </c>
    </row>
    <row r="1120" spans="1:2" x14ac:dyDescent="0.25">
      <c r="A1120" s="8">
        <v>43553</v>
      </c>
      <c r="B1120">
        <v>85.7</v>
      </c>
    </row>
    <row r="1121" spans="1:2" x14ac:dyDescent="0.25">
      <c r="A1121" s="8">
        <v>43585</v>
      </c>
      <c r="B1121">
        <v>93.24</v>
      </c>
    </row>
    <row r="1122" spans="1:2" x14ac:dyDescent="0.25">
      <c r="A1122" s="8">
        <v>43616</v>
      </c>
      <c r="B1122">
        <v>98.76</v>
      </c>
    </row>
    <row r="1123" spans="1:2" x14ac:dyDescent="0.25">
      <c r="A1123" s="8">
        <v>43644</v>
      </c>
      <c r="B1123">
        <v>109.18</v>
      </c>
    </row>
    <row r="1124" spans="1:2" x14ac:dyDescent="0.25">
      <c r="A1124" s="8">
        <v>43677</v>
      </c>
      <c r="B1124">
        <v>120.02</v>
      </c>
    </row>
    <row r="1125" spans="1:2" x14ac:dyDescent="0.25">
      <c r="A1125" s="8">
        <v>43707</v>
      </c>
      <c r="B1125">
        <v>90.91</v>
      </c>
    </row>
    <row r="1126" spans="1:2" x14ac:dyDescent="0.25">
      <c r="A1126" s="8">
        <v>43738</v>
      </c>
      <c r="B1126">
        <v>92.91</v>
      </c>
    </row>
    <row r="1127" spans="1:2" x14ac:dyDescent="0.25">
      <c r="A1127" s="8">
        <v>43769</v>
      </c>
      <c r="B1127">
        <v>89.56</v>
      </c>
    </row>
    <row r="1128" spans="1:2" x14ac:dyDescent="0.25">
      <c r="A1128" s="8">
        <v>43798</v>
      </c>
      <c r="B1128">
        <v>84.68</v>
      </c>
    </row>
    <row r="1129" spans="1:2" x14ac:dyDescent="0.25">
      <c r="A1129" s="8">
        <v>43830</v>
      </c>
      <c r="B1129">
        <v>91.53</v>
      </c>
    </row>
    <row r="1130" spans="1:2" x14ac:dyDescent="0.25">
      <c r="A1130" s="8">
        <v>43861</v>
      </c>
      <c r="B1130">
        <v>92.44</v>
      </c>
    </row>
    <row r="1131" spans="1:2" x14ac:dyDescent="0.25">
      <c r="A1131" s="8">
        <v>43889</v>
      </c>
      <c r="B1131">
        <v>86.46</v>
      </c>
    </row>
    <row r="1132" spans="1:2" x14ac:dyDescent="0.25">
      <c r="A1132" s="8">
        <v>43921</v>
      </c>
      <c r="B1132">
        <v>88.02</v>
      </c>
    </row>
    <row r="1133" spans="1:2" x14ac:dyDescent="0.25">
      <c r="A1133" s="8">
        <v>43951</v>
      </c>
      <c r="B1133">
        <v>83.84</v>
      </c>
    </row>
    <row r="1134" spans="1:2" x14ac:dyDescent="0.25">
      <c r="A1134" s="8">
        <v>43980</v>
      </c>
      <c r="B1134">
        <v>92.54</v>
      </c>
    </row>
    <row r="1135" spans="1:2" x14ac:dyDescent="0.25">
      <c r="A1135" s="8">
        <v>44012</v>
      </c>
      <c r="B1135">
        <v>102.95</v>
      </c>
    </row>
    <row r="1136" spans="1:2" x14ac:dyDescent="0.25">
      <c r="A1136" s="8">
        <v>44043</v>
      </c>
      <c r="B1136">
        <v>108.97</v>
      </c>
    </row>
    <row r="1137" spans="1:2" x14ac:dyDescent="0.25">
      <c r="A1137" s="8">
        <v>44074</v>
      </c>
      <c r="B1137">
        <v>122.53</v>
      </c>
    </row>
    <row r="1138" spans="1:2" x14ac:dyDescent="0.25">
      <c r="A1138" s="8">
        <v>44104</v>
      </c>
      <c r="B1138">
        <v>123.98</v>
      </c>
    </row>
    <row r="1139" spans="1:2" x14ac:dyDescent="0.25">
      <c r="A1139" s="8">
        <v>44134</v>
      </c>
      <c r="B1139">
        <v>120.19</v>
      </c>
    </row>
    <row r="1140" spans="1:2" x14ac:dyDescent="0.25">
      <c r="A1140" s="8">
        <v>44165</v>
      </c>
      <c r="B1140">
        <v>124.62</v>
      </c>
    </row>
    <row r="1141" spans="1:2" x14ac:dyDescent="0.25">
      <c r="A1141" s="8">
        <v>44196</v>
      </c>
      <c r="B1141">
        <v>155.84</v>
      </c>
    </row>
    <row r="1142" spans="1:2" x14ac:dyDescent="0.25">
      <c r="A1142" s="8">
        <v>44225</v>
      </c>
      <c r="B1142">
        <v>168.13</v>
      </c>
    </row>
    <row r="1143" spans="1:2" x14ac:dyDescent="0.25">
      <c r="A1143" s="8">
        <v>44253</v>
      </c>
      <c r="B1143">
        <v>165.61</v>
      </c>
    </row>
    <row r="1144" spans="1:2" x14ac:dyDescent="0.25">
      <c r="A1144" s="8">
        <v>44286</v>
      </c>
      <c r="B1144">
        <v>166.9</v>
      </c>
    </row>
    <row r="1145" spans="1:2" x14ac:dyDescent="0.25">
      <c r="A1145" s="8">
        <v>44316</v>
      </c>
      <c r="B1145">
        <v>179.63</v>
      </c>
    </row>
    <row r="1146" spans="1:2" x14ac:dyDescent="0.25">
      <c r="A1146" s="8">
        <v>44347</v>
      </c>
      <c r="B1146">
        <v>205.69</v>
      </c>
    </row>
    <row r="1147" spans="1:2" x14ac:dyDescent="0.25">
      <c r="A1147" s="8">
        <v>44377</v>
      </c>
      <c r="B1147">
        <v>214.55</v>
      </c>
    </row>
    <row r="1148" spans="1:2" x14ac:dyDescent="0.25">
      <c r="A1148" s="8">
        <v>44407</v>
      </c>
      <c r="B1148">
        <v>211.99</v>
      </c>
    </row>
    <row r="1149" spans="1:2" x14ac:dyDescent="0.25">
      <c r="A1149" s="8">
        <v>44439</v>
      </c>
      <c r="B1149">
        <v>159.25</v>
      </c>
    </row>
    <row r="1150" spans="1:2" x14ac:dyDescent="0.25">
      <c r="A1150" s="8">
        <v>44469</v>
      </c>
      <c r="B1150">
        <v>119.65</v>
      </c>
    </row>
    <row r="1151" spans="1:2" x14ac:dyDescent="0.25">
      <c r="A1151" s="8">
        <v>44498</v>
      </c>
      <c r="B1151">
        <v>121.23</v>
      </c>
    </row>
    <row r="1152" spans="1:2" x14ac:dyDescent="0.25">
      <c r="A1152" s="8">
        <v>44530</v>
      </c>
      <c r="B1152">
        <v>94.97</v>
      </c>
    </row>
    <row r="1153" spans="1:2" x14ac:dyDescent="0.25">
      <c r="A1153" s="8">
        <v>44561</v>
      </c>
      <c r="B1153">
        <v>112.5</v>
      </c>
    </row>
    <row r="1154" spans="1:2" x14ac:dyDescent="0.25">
      <c r="A1154" s="8">
        <v>44592</v>
      </c>
      <c r="B1154">
        <v>131.15</v>
      </c>
    </row>
    <row r="1155" spans="1:2" x14ac:dyDescent="0.25">
      <c r="A1155" s="8">
        <v>44620</v>
      </c>
      <c r="B1155">
        <v>141.99</v>
      </c>
    </row>
    <row r="1156" spans="1:2" x14ac:dyDescent="0.25">
      <c r="A1156" s="8">
        <v>44651</v>
      </c>
      <c r="B1156">
        <v>150.84</v>
      </c>
    </row>
    <row r="1157" spans="1:2" x14ac:dyDescent="0.25">
      <c r="A1157" s="8">
        <v>44680</v>
      </c>
      <c r="B1157">
        <v>150.77000000000001</v>
      </c>
    </row>
    <row r="1158" spans="1:2" x14ac:dyDescent="0.25">
      <c r="A1158" s="8">
        <v>44712</v>
      </c>
      <c r="B1158">
        <v>133.51</v>
      </c>
    </row>
    <row r="1159" spans="1:2" x14ac:dyDescent="0.25">
      <c r="A1159" s="8">
        <v>44742</v>
      </c>
      <c r="B1159">
        <v>130</v>
      </c>
    </row>
    <row r="1160" spans="1:2" x14ac:dyDescent="0.25">
      <c r="A1160" s="8">
        <v>44771</v>
      </c>
      <c r="B1160">
        <v>107.22</v>
      </c>
    </row>
    <row r="1161" spans="1:2" x14ac:dyDescent="0.25">
      <c r="A1161" s="8">
        <v>44804</v>
      </c>
      <c r="B1161">
        <v>104.76</v>
      </c>
    </row>
    <row r="1162" spans="1:2" x14ac:dyDescent="0.25">
      <c r="A1162" s="8">
        <v>44834</v>
      </c>
      <c r="B1162">
        <v>98.31</v>
      </c>
    </row>
    <row r="1163" spans="1:2" x14ac:dyDescent="0.25">
      <c r="A1163" s="8">
        <v>44865</v>
      </c>
      <c r="B1163">
        <v>92.43</v>
      </c>
    </row>
    <row r="1164" spans="1:2" x14ac:dyDescent="0.25">
      <c r="A1164" s="8">
        <v>44895</v>
      </c>
      <c r="B1164">
        <v>93.25</v>
      </c>
    </row>
    <row r="1165" spans="1:2" x14ac:dyDescent="0.25">
      <c r="A1165" s="8">
        <v>44925</v>
      </c>
      <c r="B1165">
        <v>111.28</v>
      </c>
    </row>
    <row r="1166" spans="1:2" x14ac:dyDescent="0.25">
      <c r="A1166" s="8">
        <v>44957</v>
      </c>
      <c r="B1166">
        <v>123.37</v>
      </c>
    </row>
    <row r="1167" spans="1:2" x14ac:dyDescent="0.25">
      <c r="A1167" s="8">
        <v>44985</v>
      </c>
      <c r="B1167">
        <v>125.75</v>
      </c>
    </row>
    <row r="1168" spans="1:2" x14ac:dyDescent="0.25">
      <c r="A1168" s="8">
        <v>45016</v>
      </c>
      <c r="B1168">
        <v>127.06</v>
      </c>
    </row>
    <row r="1169" spans="1:2" x14ac:dyDescent="0.25">
      <c r="A1169" s="8">
        <v>45044</v>
      </c>
      <c r="B1169">
        <v>116.14</v>
      </c>
    </row>
    <row r="1170" spans="1:2" x14ac:dyDescent="0.25">
      <c r="A1170" s="8">
        <v>45077</v>
      </c>
      <c r="B1170">
        <v>105.07</v>
      </c>
    </row>
    <row r="1171" spans="1:2" x14ac:dyDescent="0.25">
      <c r="A1171" s="8">
        <v>45107</v>
      </c>
      <c r="B1171">
        <v>112.57</v>
      </c>
    </row>
    <row r="1172" spans="1:2" x14ac:dyDescent="0.25">
      <c r="A1172" s="8">
        <v>45138</v>
      </c>
      <c r="B1172">
        <v>112.46</v>
      </c>
    </row>
    <row r="1173" spans="1:2" x14ac:dyDescent="0.25">
      <c r="A1173" s="8">
        <v>45169</v>
      </c>
      <c r="B1173">
        <v>109.4</v>
      </c>
    </row>
    <row r="1174" spans="1:2" x14ac:dyDescent="0.25">
      <c r="A1174" s="8">
        <v>45198</v>
      </c>
      <c r="B1174">
        <v>120.79</v>
      </c>
    </row>
    <row r="1175" spans="1:2" x14ac:dyDescent="0.25">
      <c r="A1175" s="8">
        <v>45230</v>
      </c>
      <c r="B1175">
        <v>118.91</v>
      </c>
    </row>
    <row r="1176" spans="1:2" x14ac:dyDescent="0.25">
      <c r="A1176" s="8">
        <v>45260</v>
      </c>
      <c r="B1176">
        <v>130.46</v>
      </c>
    </row>
    <row r="1177" spans="1:2" x14ac:dyDescent="0.25">
      <c r="A1177" s="8">
        <v>45289</v>
      </c>
      <c r="B1177">
        <v>136.37</v>
      </c>
    </row>
    <row r="1178" spans="1:2" x14ac:dyDescent="0.25">
      <c r="A1178" s="8">
        <v>45322</v>
      </c>
      <c r="B1178">
        <v>135.13</v>
      </c>
    </row>
    <row r="1179" spans="1:2" x14ac:dyDescent="0.25">
      <c r="A1179" s="8">
        <v>45351</v>
      </c>
      <c r="B1179">
        <v>124.86</v>
      </c>
    </row>
    <row r="1180" spans="1:2" x14ac:dyDescent="0.25">
      <c r="A1180" s="8">
        <v>45380</v>
      </c>
      <c r="B1180">
        <v>100.1</v>
      </c>
    </row>
    <row r="1181" spans="1:2" x14ac:dyDescent="0.25">
      <c r="A1181" s="8">
        <v>45412</v>
      </c>
      <c r="B1181">
        <v>110.91</v>
      </c>
    </row>
    <row r="1182" spans="1:2" x14ac:dyDescent="0.25">
      <c r="A1182" s="8">
        <v>45443</v>
      </c>
      <c r="B1182">
        <v>117.52</v>
      </c>
    </row>
    <row r="1183" spans="1:2" x14ac:dyDescent="0.25">
      <c r="A1183" s="8">
        <v>45471</v>
      </c>
      <c r="B1183">
        <v>106.51</v>
      </c>
    </row>
    <row r="1184" spans="1:2" x14ac:dyDescent="0.25">
      <c r="A1184" s="8">
        <v>45504</v>
      </c>
      <c r="B1184">
        <v>105.94</v>
      </c>
    </row>
    <row r="1185" spans="1:2" x14ac:dyDescent="0.25">
      <c r="A1185" s="8">
        <v>45534</v>
      </c>
      <c r="B1185">
        <v>98.7</v>
      </c>
    </row>
    <row r="1186" spans="1:2" x14ac:dyDescent="0.25">
      <c r="A1186" s="8">
        <v>45565</v>
      </c>
      <c r="B1186">
        <v>93.83</v>
      </c>
    </row>
    <row r="1187" spans="1:2" x14ac:dyDescent="0.25">
      <c r="A1187" s="8">
        <v>45596</v>
      </c>
      <c r="B1187">
        <v>103.89</v>
      </c>
    </row>
    <row r="1188" spans="1:2" x14ac:dyDescent="0.25">
      <c r="A1188" s="8">
        <v>45625</v>
      </c>
      <c r="B1188">
        <v>102.44</v>
      </c>
    </row>
    <row r="1189" spans="1:2" x14ac:dyDescent="0.25">
      <c r="A1189" s="8">
        <v>45657</v>
      </c>
      <c r="B1189">
        <v>103.61</v>
      </c>
    </row>
    <row r="1190" spans="1:2" x14ac:dyDescent="0.25">
      <c r="A1190" s="8">
        <v>45688</v>
      </c>
      <c r="B1190">
        <v>101.59</v>
      </c>
    </row>
    <row r="1191" spans="1:2" x14ac:dyDescent="0.25">
      <c r="A1191" s="8">
        <v>45716</v>
      </c>
      <c r="B1191">
        <v>106.9</v>
      </c>
    </row>
    <row r="1192" spans="1:2" x14ac:dyDescent="0.25">
      <c r="A1192" s="8">
        <v>45747</v>
      </c>
      <c r="B1192">
        <v>102.04</v>
      </c>
    </row>
    <row r="1193" spans="1:2" x14ac:dyDescent="0.25">
      <c r="A1193" s="8">
        <v>45777</v>
      </c>
      <c r="B1193">
        <v>99.76</v>
      </c>
    </row>
    <row r="1194" spans="1:2" x14ac:dyDescent="0.25">
      <c r="A1194" s="8">
        <v>45807</v>
      </c>
      <c r="B1194">
        <v>99.12</v>
      </c>
    </row>
    <row r="1195" spans="1:2" x14ac:dyDescent="0.25">
      <c r="A1195" s="8">
        <v>45838</v>
      </c>
      <c r="B1195">
        <v>94.47</v>
      </c>
    </row>
    <row r="1196" spans="1:2" x14ac:dyDescent="0.25">
      <c r="A1196" s="8">
        <v>45869</v>
      </c>
      <c r="B1196">
        <v>99.12</v>
      </c>
    </row>
    <row r="1197" spans="1:2" x14ac:dyDescent="0.25">
      <c r="A1197" s="8">
        <v>45898</v>
      </c>
      <c r="B1197">
        <v>101.81</v>
      </c>
    </row>
    <row r="1198" spans="1:2" x14ac:dyDescent="0.25">
      <c r="A1198" s="8">
        <v>45930</v>
      </c>
      <c r="B1198">
        <v>105.29</v>
      </c>
    </row>
    <row r="1199" spans="1:2" x14ac:dyDescent="0.25">
      <c r="A1199" s="8">
        <v>45961</v>
      </c>
      <c r="B1199">
        <v>105.83</v>
      </c>
    </row>
    <row r="1200" spans="1:2" x14ac:dyDescent="0.25">
      <c r="A1200" s="8">
        <v>45989</v>
      </c>
      <c r="B1200">
        <v>104.84</v>
      </c>
    </row>
    <row r="1201" spans="1:4" x14ac:dyDescent="0.25">
      <c r="A1201" s="8">
        <v>46022</v>
      </c>
      <c r="B1201">
        <v>107.19</v>
      </c>
    </row>
    <row r="1202" spans="1:4" x14ac:dyDescent="0.25">
      <c r="A1202" s="8">
        <v>46052</v>
      </c>
      <c r="B1202">
        <v>105.62</v>
      </c>
    </row>
    <row r="1216" spans="1:4" x14ac:dyDescent="0.25">
      <c r="A1216" s="6" t="s">
        <v>112</v>
      </c>
      <c r="B1216" s="6" t="s">
        <v>113</v>
      </c>
      <c r="C1216" s="6" t="s">
        <v>114</v>
      </c>
      <c r="D1216" s="6" t="s">
        <v>54</v>
      </c>
    </row>
    <row r="1217" spans="1:2" x14ac:dyDescent="0.25">
      <c r="A1217" s="8">
        <f ca="1">_xll.BDH("HG1 Comdty","PX_LAST","02/01/2016",TODAY(),"Per=M","cols=2;rows=121")</f>
        <v>42398</v>
      </c>
      <c r="B1217">
        <v>206.7</v>
      </c>
    </row>
    <row r="1218" spans="1:2" x14ac:dyDescent="0.25">
      <c r="A1218" s="8">
        <v>42429</v>
      </c>
      <c r="B1218">
        <v>212.85</v>
      </c>
    </row>
    <row r="1219" spans="1:2" x14ac:dyDescent="0.25">
      <c r="A1219" s="8">
        <v>42460</v>
      </c>
      <c r="B1219">
        <v>218.3</v>
      </c>
    </row>
    <row r="1220" spans="1:2" x14ac:dyDescent="0.25">
      <c r="A1220" s="8">
        <v>42489</v>
      </c>
      <c r="B1220">
        <v>227.9</v>
      </c>
    </row>
    <row r="1221" spans="1:2" x14ac:dyDescent="0.25">
      <c r="A1221" s="8">
        <v>42521</v>
      </c>
      <c r="B1221">
        <v>209.55</v>
      </c>
    </row>
    <row r="1222" spans="1:2" x14ac:dyDescent="0.25">
      <c r="A1222" s="8">
        <v>42551</v>
      </c>
      <c r="B1222">
        <v>219.45</v>
      </c>
    </row>
    <row r="1223" spans="1:2" x14ac:dyDescent="0.25">
      <c r="A1223" s="8">
        <v>42580</v>
      </c>
      <c r="B1223">
        <v>222.15</v>
      </c>
    </row>
    <row r="1224" spans="1:2" x14ac:dyDescent="0.25">
      <c r="A1224" s="8">
        <v>42613</v>
      </c>
      <c r="B1224">
        <v>206.95</v>
      </c>
    </row>
    <row r="1225" spans="1:2" x14ac:dyDescent="0.25">
      <c r="A1225" s="8">
        <v>42643</v>
      </c>
      <c r="B1225">
        <v>221.05</v>
      </c>
    </row>
    <row r="1226" spans="1:2" x14ac:dyDescent="0.25">
      <c r="A1226" s="8">
        <v>42674</v>
      </c>
      <c r="B1226">
        <v>220.5</v>
      </c>
    </row>
    <row r="1227" spans="1:2" x14ac:dyDescent="0.25">
      <c r="A1227" s="8">
        <v>42704</v>
      </c>
      <c r="B1227">
        <v>262.14999999999998</v>
      </c>
    </row>
    <row r="1228" spans="1:2" x14ac:dyDescent="0.25">
      <c r="A1228" s="8">
        <v>42734</v>
      </c>
      <c r="B1228">
        <v>250.55</v>
      </c>
    </row>
    <row r="1229" spans="1:2" x14ac:dyDescent="0.25">
      <c r="A1229" s="8">
        <v>42766</v>
      </c>
      <c r="B1229">
        <v>272.75</v>
      </c>
    </row>
    <row r="1230" spans="1:2" x14ac:dyDescent="0.25">
      <c r="A1230" s="8">
        <v>42794</v>
      </c>
      <c r="B1230">
        <v>270.39999999999998</v>
      </c>
    </row>
    <row r="1231" spans="1:2" x14ac:dyDescent="0.25">
      <c r="A1231" s="8">
        <v>42825</v>
      </c>
      <c r="B1231">
        <v>265.25</v>
      </c>
    </row>
    <row r="1232" spans="1:2" x14ac:dyDescent="0.25">
      <c r="A1232" s="8">
        <v>42853</v>
      </c>
      <c r="B1232">
        <v>259.64999999999998</v>
      </c>
    </row>
    <row r="1233" spans="1:2" x14ac:dyDescent="0.25">
      <c r="A1233" s="8">
        <v>42886</v>
      </c>
      <c r="B1233">
        <v>258</v>
      </c>
    </row>
    <row r="1234" spans="1:2" x14ac:dyDescent="0.25">
      <c r="A1234" s="8">
        <v>42916</v>
      </c>
      <c r="B1234">
        <v>269.89999999999998</v>
      </c>
    </row>
    <row r="1235" spans="1:2" x14ac:dyDescent="0.25">
      <c r="A1235" s="8">
        <v>42947</v>
      </c>
      <c r="B1235">
        <v>289.14999999999998</v>
      </c>
    </row>
    <row r="1236" spans="1:2" x14ac:dyDescent="0.25">
      <c r="A1236" s="8">
        <v>42978</v>
      </c>
      <c r="B1236">
        <v>307.89999999999998</v>
      </c>
    </row>
    <row r="1237" spans="1:2" x14ac:dyDescent="0.25">
      <c r="A1237" s="8">
        <v>43007</v>
      </c>
      <c r="B1237">
        <v>295.5</v>
      </c>
    </row>
    <row r="1238" spans="1:2" x14ac:dyDescent="0.25">
      <c r="A1238" s="8">
        <v>43039</v>
      </c>
      <c r="B1238">
        <v>310.10000000000002</v>
      </c>
    </row>
    <row r="1239" spans="1:2" x14ac:dyDescent="0.25">
      <c r="A1239" s="8">
        <v>43069</v>
      </c>
      <c r="B1239">
        <v>303.7</v>
      </c>
    </row>
    <row r="1240" spans="1:2" x14ac:dyDescent="0.25">
      <c r="A1240" s="8">
        <v>43098</v>
      </c>
      <c r="B1240">
        <v>330.05</v>
      </c>
    </row>
    <row r="1241" spans="1:2" x14ac:dyDescent="0.25">
      <c r="A1241" s="8">
        <v>43131</v>
      </c>
      <c r="B1241">
        <v>319.55</v>
      </c>
    </row>
    <row r="1242" spans="1:2" x14ac:dyDescent="0.25">
      <c r="A1242" s="8">
        <v>43159</v>
      </c>
      <c r="B1242">
        <v>310.75</v>
      </c>
    </row>
    <row r="1243" spans="1:2" x14ac:dyDescent="0.25">
      <c r="A1243" s="8">
        <v>43189</v>
      </c>
      <c r="B1243">
        <v>302.55</v>
      </c>
    </row>
    <row r="1244" spans="1:2" x14ac:dyDescent="0.25">
      <c r="A1244" s="8">
        <v>43220</v>
      </c>
      <c r="B1244">
        <v>305.25</v>
      </c>
    </row>
    <row r="1245" spans="1:2" x14ac:dyDescent="0.25">
      <c r="A1245" s="8">
        <v>43251</v>
      </c>
      <c r="B1245">
        <v>306.5</v>
      </c>
    </row>
    <row r="1246" spans="1:2" x14ac:dyDescent="0.25">
      <c r="A1246" s="8">
        <v>43280</v>
      </c>
      <c r="B1246">
        <v>295.10000000000002</v>
      </c>
    </row>
    <row r="1247" spans="1:2" x14ac:dyDescent="0.25">
      <c r="A1247" s="8">
        <v>43312</v>
      </c>
      <c r="B1247">
        <v>283.14999999999998</v>
      </c>
    </row>
    <row r="1248" spans="1:2" x14ac:dyDescent="0.25">
      <c r="A1248" s="8">
        <v>43343</v>
      </c>
      <c r="B1248">
        <v>264.89999999999998</v>
      </c>
    </row>
    <row r="1249" spans="1:2" x14ac:dyDescent="0.25">
      <c r="A1249" s="8">
        <v>43371</v>
      </c>
      <c r="B1249">
        <v>280.5</v>
      </c>
    </row>
    <row r="1250" spans="1:2" x14ac:dyDescent="0.25">
      <c r="A1250" s="8">
        <v>43404</v>
      </c>
      <c r="B1250">
        <v>265.89999999999998</v>
      </c>
    </row>
    <row r="1251" spans="1:2" x14ac:dyDescent="0.25">
      <c r="A1251" s="8">
        <v>43434</v>
      </c>
      <c r="B1251">
        <v>277.75</v>
      </c>
    </row>
    <row r="1252" spans="1:2" x14ac:dyDescent="0.25">
      <c r="A1252" s="8">
        <v>43465</v>
      </c>
      <c r="B1252">
        <v>263.10000000000002</v>
      </c>
    </row>
    <row r="1253" spans="1:2" x14ac:dyDescent="0.25">
      <c r="A1253" s="8">
        <v>43496</v>
      </c>
      <c r="B1253">
        <v>278.45</v>
      </c>
    </row>
    <row r="1254" spans="1:2" x14ac:dyDescent="0.25">
      <c r="A1254" s="8">
        <v>43524</v>
      </c>
      <c r="B1254">
        <v>295</v>
      </c>
    </row>
    <row r="1255" spans="1:2" x14ac:dyDescent="0.25">
      <c r="A1255" s="8">
        <v>43553</v>
      </c>
      <c r="B1255">
        <v>293.60000000000002</v>
      </c>
    </row>
    <row r="1256" spans="1:2" x14ac:dyDescent="0.25">
      <c r="A1256" s="8">
        <v>43585</v>
      </c>
      <c r="B1256">
        <v>290.14999999999998</v>
      </c>
    </row>
    <row r="1257" spans="1:2" x14ac:dyDescent="0.25">
      <c r="A1257" s="8">
        <v>43616</v>
      </c>
      <c r="B1257">
        <v>264</v>
      </c>
    </row>
    <row r="1258" spans="1:2" x14ac:dyDescent="0.25">
      <c r="A1258" s="8">
        <v>43644</v>
      </c>
      <c r="B1258">
        <v>270.55</v>
      </c>
    </row>
    <row r="1259" spans="1:2" x14ac:dyDescent="0.25">
      <c r="A1259" s="8">
        <v>43677</v>
      </c>
      <c r="B1259">
        <v>266.60000000000002</v>
      </c>
    </row>
    <row r="1260" spans="1:2" x14ac:dyDescent="0.25">
      <c r="A1260" s="8">
        <v>43707</v>
      </c>
      <c r="B1260">
        <v>253.3</v>
      </c>
    </row>
    <row r="1261" spans="1:2" x14ac:dyDescent="0.25">
      <c r="A1261" s="8">
        <v>43738</v>
      </c>
      <c r="B1261">
        <v>257.85000000000002</v>
      </c>
    </row>
    <row r="1262" spans="1:2" x14ac:dyDescent="0.25">
      <c r="A1262" s="8">
        <v>43769</v>
      </c>
      <c r="B1262">
        <v>263.8</v>
      </c>
    </row>
    <row r="1263" spans="1:2" x14ac:dyDescent="0.25">
      <c r="A1263" s="8">
        <v>43798</v>
      </c>
      <c r="B1263">
        <v>264.2</v>
      </c>
    </row>
    <row r="1264" spans="1:2" x14ac:dyDescent="0.25">
      <c r="A1264" s="8">
        <v>43830</v>
      </c>
      <c r="B1264">
        <v>279.7</v>
      </c>
    </row>
    <row r="1265" spans="1:2" x14ac:dyDescent="0.25">
      <c r="A1265" s="8">
        <v>43861</v>
      </c>
      <c r="B1265">
        <v>251.7</v>
      </c>
    </row>
    <row r="1266" spans="1:2" x14ac:dyDescent="0.25">
      <c r="A1266" s="8">
        <v>43889</v>
      </c>
      <c r="B1266">
        <v>254.6</v>
      </c>
    </row>
    <row r="1267" spans="1:2" x14ac:dyDescent="0.25">
      <c r="A1267" s="8">
        <v>43921</v>
      </c>
      <c r="B1267">
        <v>222.8</v>
      </c>
    </row>
    <row r="1268" spans="1:2" x14ac:dyDescent="0.25">
      <c r="A1268" s="8">
        <v>43951</v>
      </c>
      <c r="B1268">
        <v>235.4</v>
      </c>
    </row>
    <row r="1269" spans="1:2" x14ac:dyDescent="0.25">
      <c r="A1269" s="8">
        <v>43980</v>
      </c>
      <c r="B1269">
        <v>242.55</v>
      </c>
    </row>
    <row r="1270" spans="1:2" x14ac:dyDescent="0.25">
      <c r="A1270" s="8">
        <v>44012</v>
      </c>
      <c r="B1270">
        <v>271.35000000000002</v>
      </c>
    </row>
    <row r="1271" spans="1:2" x14ac:dyDescent="0.25">
      <c r="A1271" s="8">
        <v>44043</v>
      </c>
      <c r="B1271">
        <v>286.8</v>
      </c>
    </row>
    <row r="1272" spans="1:2" x14ac:dyDescent="0.25">
      <c r="A1272" s="8">
        <v>44074</v>
      </c>
      <c r="B1272">
        <v>304.10000000000002</v>
      </c>
    </row>
    <row r="1273" spans="1:2" x14ac:dyDescent="0.25">
      <c r="A1273" s="8">
        <v>44104</v>
      </c>
      <c r="B1273">
        <v>303.25</v>
      </c>
    </row>
    <row r="1274" spans="1:2" x14ac:dyDescent="0.25">
      <c r="A1274" s="8">
        <v>44134</v>
      </c>
      <c r="B1274">
        <v>304.75</v>
      </c>
    </row>
    <row r="1275" spans="1:2" x14ac:dyDescent="0.25">
      <c r="A1275" s="8">
        <v>44165</v>
      </c>
      <c r="B1275">
        <v>342.05</v>
      </c>
    </row>
    <row r="1276" spans="1:2" x14ac:dyDescent="0.25">
      <c r="A1276" s="8">
        <v>44196</v>
      </c>
      <c r="B1276">
        <v>351.9</v>
      </c>
    </row>
    <row r="1277" spans="1:2" x14ac:dyDescent="0.25">
      <c r="A1277" s="8">
        <v>44225</v>
      </c>
      <c r="B1277">
        <v>355.6</v>
      </c>
    </row>
    <row r="1278" spans="1:2" x14ac:dyDescent="0.25">
      <c r="A1278" s="8">
        <v>44253</v>
      </c>
      <c r="B1278">
        <v>409.45</v>
      </c>
    </row>
    <row r="1279" spans="1:2" x14ac:dyDescent="0.25">
      <c r="A1279" s="8">
        <v>44286</v>
      </c>
      <c r="B1279">
        <v>399.55</v>
      </c>
    </row>
    <row r="1280" spans="1:2" x14ac:dyDescent="0.25">
      <c r="A1280" s="8">
        <v>44316</v>
      </c>
      <c r="B1280">
        <v>447.9</v>
      </c>
    </row>
    <row r="1281" spans="1:2" x14ac:dyDescent="0.25">
      <c r="A1281" s="8">
        <v>44347</v>
      </c>
      <c r="B1281">
        <v>467.75</v>
      </c>
    </row>
    <row r="1282" spans="1:2" x14ac:dyDescent="0.25">
      <c r="A1282" s="8">
        <v>44377</v>
      </c>
      <c r="B1282">
        <v>429.65</v>
      </c>
    </row>
    <row r="1283" spans="1:2" x14ac:dyDescent="0.25">
      <c r="A1283" s="8">
        <v>44407</v>
      </c>
      <c r="B1283">
        <v>448.25</v>
      </c>
    </row>
    <row r="1284" spans="1:2" x14ac:dyDescent="0.25">
      <c r="A1284" s="8">
        <v>44439</v>
      </c>
      <c r="B1284">
        <v>436</v>
      </c>
    </row>
    <row r="1285" spans="1:2" x14ac:dyDescent="0.25">
      <c r="A1285" s="8">
        <v>44469</v>
      </c>
      <c r="B1285">
        <v>408.9</v>
      </c>
    </row>
    <row r="1286" spans="1:2" x14ac:dyDescent="0.25">
      <c r="A1286" s="8">
        <v>44498</v>
      </c>
      <c r="B1286">
        <v>436.8</v>
      </c>
    </row>
    <row r="1287" spans="1:2" x14ac:dyDescent="0.25">
      <c r="A1287" s="8">
        <v>44530</v>
      </c>
      <c r="B1287">
        <v>427.8</v>
      </c>
    </row>
    <row r="1288" spans="1:2" x14ac:dyDescent="0.25">
      <c r="A1288" s="8">
        <v>44561</v>
      </c>
      <c r="B1288">
        <v>446.35</v>
      </c>
    </row>
    <row r="1289" spans="1:2" x14ac:dyDescent="0.25">
      <c r="A1289" s="8">
        <v>44592</v>
      </c>
      <c r="B1289">
        <v>432.45</v>
      </c>
    </row>
    <row r="1290" spans="1:2" x14ac:dyDescent="0.25">
      <c r="A1290" s="8">
        <v>44620</v>
      </c>
      <c r="B1290">
        <v>444.45</v>
      </c>
    </row>
    <row r="1291" spans="1:2" x14ac:dyDescent="0.25">
      <c r="A1291" s="8">
        <v>44651</v>
      </c>
      <c r="B1291">
        <v>475.1</v>
      </c>
    </row>
    <row r="1292" spans="1:2" x14ac:dyDescent="0.25">
      <c r="A1292" s="8">
        <v>44680</v>
      </c>
      <c r="B1292">
        <v>439.5</v>
      </c>
    </row>
    <row r="1293" spans="1:2" x14ac:dyDescent="0.25">
      <c r="A1293" s="8">
        <v>44712</v>
      </c>
      <c r="B1293">
        <v>429.6</v>
      </c>
    </row>
    <row r="1294" spans="1:2" x14ac:dyDescent="0.25">
      <c r="A1294" s="8">
        <v>44742</v>
      </c>
      <c r="B1294">
        <v>371.45</v>
      </c>
    </row>
    <row r="1295" spans="1:2" x14ac:dyDescent="0.25">
      <c r="A1295" s="8">
        <v>44771</v>
      </c>
      <c r="B1295">
        <v>357.35</v>
      </c>
    </row>
    <row r="1296" spans="1:2" x14ac:dyDescent="0.25">
      <c r="A1296" s="8">
        <v>44804</v>
      </c>
      <c r="B1296">
        <v>351.85</v>
      </c>
    </row>
    <row r="1297" spans="1:2" x14ac:dyDescent="0.25">
      <c r="A1297" s="8">
        <v>44834</v>
      </c>
      <c r="B1297">
        <v>341.25</v>
      </c>
    </row>
    <row r="1298" spans="1:2" x14ac:dyDescent="0.25">
      <c r="A1298" s="8">
        <v>44865</v>
      </c>
      <c r="B1298">
        <v>337.5</v>
      </c>
    </row>
    <row r="1299" spans="1:2" x14ac:dyDescent="0.25">
      <c r="A1299" s="8">
        <v>44895</v>
      </c>
      <c r="B1299">
        <v>372.95</v>
      </c>
    </row>
    <row r="1300" spans="1:2" x14ac:dyDescent="0.25">
      <c r="A1300" s="8">
        <v>44925</v>
      </c>
      <c r="B1300">
        <v>381.05</v>
      </c>
    </row>
    <row r="1301" spans="1:2" x14ac:dyDescent="0.25">
      <c r="A1301" s="8">
        <v>44957</v>
      </c>
      <c r="B1301">
        <v>422.6</v>
      </c>
    </row>
    <row r="1302" spans="1:2" x14ac:dyDescent="0.25">
      <c r="A1302" s="8">
        <v>44985</v>
      </c>
      <c r="B1302">
        <v>409.75</v>
      </c>
    </row>
    <row r="1303" spans="1:2" x14ac:dyDescent="0.25">
      <c r="A1303" s="8">
        <v>45016</v>
      </c>
      <c r="B1303">
        <v>409.45</v>
      </c>
    </row>
    <row r="1304" spans="1:2" x14ac:dyDescent="0.25">
      <c r="A1304" s="8">
        <v>45044</v>
      </c>
      <c r="B1304">
        <v>387</v>
      </c>
    </row>
    <row r="1305" spans="1:2" x14ac:dyDescent="0.25">
      <c r="A1305" s="8">
        <v>45077</v>
      </c>
      <c r="B1305">
        <v>363.7</v>
      </c>
    </row>
    <row r="1306" spans="1:2" x14ac:dyDescent="0.25">
      <c r="A1306" s="8">
        <v>45107</v>
      </c>
      <c r="B1306">
        <v>374.1</v>
      </c>
    </row>
    <row r="1307" spans="1:2" x14ac:dyDescent="0.25">
      <c r="A1307" s="8">
        <v>45138</v>
      </c>
      <c r="B1307">
        <v>400.8</v>
      </c>
    </row>
    <row r="1308" spans="1:2" x14ac:dyDescent="0.25">
      <c r="A1308" s="8">
        <v>45169</v>
      </c>
      <c r="B1308">
        <v>377.25</v>
      </c>
    </row>
    <row r="1309" spans="1:2" x14ac:dyDescent="0.25">
      <c r="A1309" s="8">
        <v>45198</v>
      </c>
      <c r="B1309">
        <v>373.75</v>
      </c>
    </row>
    <row r="1310" spans="1:2" x14ac:dyDescent="0.25">
      <c r="A1310" s="8">
        <v>45230</v>
      </c>
      <c r="B1310">
        <v>364.9</v>
      </c>
    </row>
    <row r="1311" spans="1:2" x14ac:dyDescent="0.25">
      <c r="A1311" s="8">
        <v>45260</v>
      </c>
      <c r="B1311">
        <v>382.9</v>
      </c>
    </row>
    <row r="1312" spans="1:2" x14ac:dyDescent="0.25">
      <c r="A1312" s="8">
        <v>45289</v>
      </c>
      <c r="B1312">
        <v>389.05</v>
      </c>
    </row>
    <row r="1313" spans="1:2" x14ac:dyDescent="0.25">
      <c r="A1313" s="8">
        <v>45322</v>
      </c>
      <c r="B1313">
        <v>390.6</v>
      </c>
    </row>
    <row r="1314" spans="1:2" x14ac:dyDescent="0.25">
      <c r="A1314" s="8">
        <v>45351</v>
      </c>
      <c r="B1314">
        <v>383.45</v>
      </c>
    </row>
    <row r="1315" spans="1:2" x14ac:dyDescent="0.25">
      <c r="A1315" s="8">
        <v>45380</v>
      </c>
      <c r="B1315">
        <v>400.7</v>
      </c>
    </row>
    <row r="1316" spans="1:2" x14ac:dyDescent="0.25">
      <c r="A1316" s="8">
        <v>45412</v>
      </c>
      <c r="B1316">
        <v>456.45</v>
      </c>
    </row>
    <row r="1317" spans="1:2" x14ac:dyDescent="0.25">
      <c r="A1317" s="8">
        <v>45443</v>
      </c>
      <c r="B1317">
        <v>460.2</v>
      </c>
    </row>
    <row r="1318" spans="1:2" x14ac:dyDescent="0.25">
      <c r="A1318" s="8">
        <v>45471</v>
      </c>
      <c r="B1318">
        <v>439.05</v>
      </c>
    </row>
    <row r="1319" spans="1:2" x14ac:dyDescent="0.25">
      <c r="A1319" s="8">
        <v>45504</v>
      </c>
      <c r="B1319">
        <v>417.65</v>
      </c>
    </row>
    <row r="1320" spans="1:2" x14ac:dyDescent="0.25">
      <c r="A1320" s="8">
        <v>45534</v>
      </c>
      <c r="B1320">
        <v>414.5</v>
      </c>
    </row>
    <row r="1321" spans="1:2" x14ac:dyDescent="0.25">
      <c r="A1321" s="8">
        <v>45565</v>
      </c>
      <c r="B1321">
        <v>455.3</v>
      </c>
    </row>
    <row r="1322" spans="1:2" x14ac:dyDescent="0.25">
      <c r="A1322" s="8">
        <v>45596</v>
      </c>
      <c r="B1322">
        <v>434</v>
      </c>
    </row>
    <row r="1323" spans="1:2" x14ac:dyDescent="0.25">
      <c r="A1323" s="8">
        <v>45625</v>
      </c>
      <c r="B1323">
        <v>408.05</v>
      </c>
    </row>
    <row r="1324" spans="1:2" x14ac:dyDescent="0.25">
      <c r="A1324" s="8">
        <v>45657</v>
      </c>
      <c r="B1324">
        <v>402.65</v>
      </c>
    </row>
    <row r="1325" spans="1:2" x14ac:dyDescent="0.25">
      <c r="A1325" s="8">
        <v>45688</v>
      </c>
      <c r="B1325">
        <v>427.9</v>
      </c>
    </row>
    <row r="1326" spans="1:2" x14ac:dyDescent="0.25">
      <c r="A1326" s="8">
        <v>45716</v>
      </c>
      <c r="B1326">
        <v>451.45</v>
      </c>
    </row>
    <row r="1327" spans="1:2" x14ac:dyDescent="0.25">
      <c r="A1327" s="8">
        <v>45747</v>
      </c>
      <c r="B1327">
        <v>503.4</v>
      </c>
    </row>
    <row r="1328" spans="1:2" x14ac:dyDescent="0.25">
      <c r="A1328" s="8">
        <v>45777</v>
      </c>
      <c r="B1328">
        <v>456</v>
      </c>
    </row>
    <row r="1329" spans="1:2" x14ac:dyDescent="0.25">
      <c r="A1329" s="8">
        <v>45807</v>
      </c>
      <c r="B1329">
        <v>467.75</v>
      </c>
    </row>
    <row r="1330" spans="1:2" x14ac:dyDescent="0.25">
      <c r="A1330" s="8">
        <v>45838</v>
      </c>
      <c r="B1330">
        <v>503</v>
      </c>
    </row>
    <row r="1331" spans="1:2" x14ac:dyDescent="0.25">
      <c r="A1331" s="8">
        <v>45869</v>
      </c>
      <c r="B1331">
        <v>435.45</v>
      </c>
    </row>
    <row r="1332" spans="1:2" x14ac:dyDescent="0.25">
      <c r="A1332" s="8">
        <v>45898</v>
      </c>
      <c r="B1332">
        <v>451.85</v>
      </c>
    </row>
    <row r="1333" spans="1:2" x14ac:dyDescent="0.25">
      <c r="A1333" s="8">
        <v>45930</v>
      </c>
      <c r="B1333">
        <v>485.65</v>
      </c>
    </row>
    <row r="1334" spans="1:2" x14ac:dyDescent="0.25">
      <c r="A1334" s="8">
        <v>45961</v>
      </c>
      <c r="B1334">
        <v>508.9</v>
      </c>
    </row>
    <row r="1335" spans="1:2" x14ac:dyDescent="0.25">
      <c r="A1335" s="8">
        <v>45989</v>
      </c>
      <c r="B1335">
        <v>518.54999999999995</v>
      </c>
    </row>
    <row r="1336" spans="1:2" x14ac:dyDescent="0.25">
      <c r="A1336" s="8">
        <v>46022</v>
      </c>
      <c r="B1336">
        <v>568.20000000000005</v>
      </c>
    </row>
    <row r="1337" spans="1:2" x14ac:dyDescent="0.25">
      <c r="A1337" s="8">
        <v>46052</v>
      </c>
      <c r="B1337">
        <v>592.4</v>
      </c>
    </row>
    <row r="1351" spans="1:4" x14ac:dyDescent="0.25">
      <c r="A1351" s="6" t="s">
        <v>115</v>
      </c>
      <c r="B1351" s="6" t="s">
        <v>116</v>
      </c>
      <c r="C1351" s="6" t="s">
        <v>117</v>
      </c>
      <c r="D1351" s="6" t="s">
        <v>54</v>
      </c>
    </row>
    <row r="1352" spans="1:4" x14ac:dyDescent="0.25">
      <c r="A1352" s="8">
        <f ca="1">_xll.BDH("CHPMINDX Index","PX_LAST","02/01/2016",TODAY(),"Per=M","cols=2;rows=121")</f>
        <v>42400</v>
      </c>
      <c r="B1352">
        <v>55.5</v>
      </c>
    </row>
    <row r="1353" spans="1:4" x14ac:dyDescent="0.25">
      <c r="A1353" s="8">
        <v>42429</v>
      </c>
      <c r="B1353">
        <v>49.2</v>
      </c>
    </row>
    <row r="1354" spans="1:4" x14ac:dyDescent="0.25">
      <c r="A1354" s="8">
        <v>42460</v>
      </c>
      <c r="B1354">
        <v>53.6</v>
      </c>
    </row>
    <row r="1355" spans="1:4" x14ac:dyDescent="0.25">
      <c r="A1355" s="8">
        <v>42490</v>
      </c>
      <c r="B1355">
        <v>51.6</v>
      </c>
    </row>
    <row r="1356" spans="1:4" x14ac:dyDescent="0.25">
      <c r="A1356" s="8">
        <v>42521</v>
      </c>
      <c r="B1356">
        <v>50.3</v>
      </c>
    </row>
    <row r="1357" spans="1:4" x14ac:dyDescent="0.25">
      <c r="A1357" s="8">
        <v>42551</v>
      </c>
      <c r="B1357">
        <v>54.1</v>
      </c>
    </row>
    <row r="1358" spans="1:4" x14ac:dyDescent="0.25">
      <c r="A1358" s="8">
        <v>42582</v>
      </c>
      <c r="B1358">
        <v>54.8</v>
      </c>
    </row>
    <row r="1359" spans="1:4" x14ac:dyDescent="0.25">
      <c r="A1359" s="8">
        <v>42613</v>
      </c>
      <c r="B1359">
        <v>52</v>
      </c>
    </row>
    <row r="1360" spans="1:4" x14ac:dyDescent="0.25">
      <c r="A1360" s="8">
        <v>42643</v>
      </c>
      <c r="B1360">
        <v>54.4</v>
      </c>
    </row>
    <row r="1361" spans="1:2" x14ac:dyDescent="0.25">
      <c r="A1361" s="8">
        <v>42674</v>
      </c>
      <c r="B1361">
        <v>51.8</v>
      </c>
    </row>
    <row r="1362" spans="1:2" x14ac:dyDescent="0.25">
      <c r="A1362" s="8">
        <v>42704</v>
      </c>
      <c r="B1362">
        <v>56.6</v>
      </c>
    </row>
    <row r="1363" spans="1:2" x14ac:dyDescent="0.25">
      <c r="A1363" s="8">
        <v>42735</v>
      </c>
      <c r="B1363">
        <v>52.8</v>
      </c>
    </row>
    <row r="1364" spans="1:2" x14ac:dyDescent="0.25">
      <c r="A1364" s="8">
        <v>42766</v>
      </c>
      <c r="B1364">
        <v>51.3</v>
      </c>
    </row>
    <row r="1365" spans="1:2" x14ac:dyDescent="0.25">
      <c r="A1365" s="8">
        <v>42794</v>
      </c>
      <c r="B1365">
        <v>56.6</v>
      </c>
    </row>
    <row r="1366" spans="1:2" x14ac:dyDescent="0.25">
      <c r="A1366" s="8">
        <v>42825</v>
      </c>
      <c r="B1366">
        <v>58</v>
      </c>
    </row>
    <row r="1367" spans="1:2" x14ac:dyDescent="0.25">
      <c r="A1367" s="8">
        <v>42855</v>
      </c>
      <c r="B1367">
        <v>59.9</v>
      </c>
    </row>
    <row r="1368" spans="1:2" x14ac:dyDescent="0.25">
      <c r="A1368" s="8">
        <v>42886</v>
      </c>
      <c r="B1368">
        <v>59.1</v>
      </c>
    </row>
    <row r="1369" spans="1:2" x14ac:dyDescent="0.25">
      <c r="A1369" s="8">
        <v>42916</v>
      </c>
      <c r="B1369">
        <v>63.5</v>
      </c>
    </row>
    <row r="1370" spans="1:2" x14ac:dyDescent="0.25">
      <c r="A1370" s="8">
        <v>42947</v>
      </c>
      <c r="B1370">
        <v>59.7</v>
      </c>
    </row>
    <row r="1371" spans="1:2" x14ac:dyDescent="0.25">
      <c r="A1371" s="8">
        <v>42978</v>
      </c>
      <c r="B1371">
        <v>59.3</v>
      </c>
    </row>
    <row r="1372" spans="1:2" x14ac:dyDescent="0.25">
      <c r="A1372" s="8">
        <v>43008</v>
      </c>
      <c r="B1372">
        <v>65.8</v>
      </c>
    </row>
    <row r="1373" spans="1:2" x14ac:dyDescent="0.25">
      <c r="A1373" s="8">
        <v>43039</v>
      </c>
      <c r="B1373">
        <v>67.2</v>
      </c>
    </row>
    <row r="1374" spans="1:2" x14ac:dyDescent="0.25">
      <c r="A1374" s="8">
        <v>43069</v>
      </c>
      <c r="B1374">
        <v>62.9</v>
      </c>
    </row>
    <row r="1375" spans="1:2" x14ac:dyDescent="0.25">
      <c r="A1375" s="8">
        <v>43100</v>
      </c>
      <c r="B1375">
        <v>65.7</v>
      </c>
    </row>
    <row r="1376" spans="1:2" x14ac:dyDescent="0.25">
      <c r="A1376" s="8">
        <v>43131</v>
      </c>
      <c r="B1376">
        <v>66.3</v>
      </c>
    </row>
    <row r="1377" spans="1:2" x14ac:dyDescent="0.25">
      <c r="A1377" s="8">
        <v>43159</v>
      </c>
      <c r="B1377">
        <v>60.4</v>
      </c>
    </row>
    <row r="1378" spans="1:2" x14ac:dyDescent="0.25">
      <c r="A1378" s="8">
        <v>43190</v>
      </c>
      <c r="B1378">
        <v>58.4</v>
      </c>
    </row>
    <row r="1379" spans="1:2" x14ac:dyDescent="0.25">
      <c r="A1379" s="8">
        <v>43220</v>
      </c>
      <c r="B1379">
        <v>58.8</v>
      </c>
    </row>
    <row r="1380" spans="1:2" x14ac:dyDescent="0.25">
      <c r="A1380" s="8">
        <v>43251</v>
      </c>
      <c r="B1380">
        <v>61.7</v>
      </c>
    </row>
    <row r="1381" spans="1:2" x14ac:dyDescent="0.25">
      <c r="A1381" s="8">
        <v>43281</v>
      </c>
      <c r="B1381">
        <v>64.5</v>
      </c>
    </row>
    <row r="1382" spans="1:2" x14ac:dyDescent="0.25">
      <c r="A1382" s="8">
        <v>43312</v>
      </c>
      <c r="B1382">
        <v>66.3</v>
      </c>
    </row>
    <row r="1383" spans="1:2" x14ac:dyDescent="0.25">
      <c r="A1383" s="8">
        <v>43343</v>
      </c>
      <c r="B1383">
        <v>63.1</v>
      </c>
    </row>
    <row r="1384" spans="1:2" x14ac:dyDescent="0.25">
      <c r="A1384" s="8">
        <v>43373</v>
      </c>
      <c r="B1384">
        <v>62.1</v>
      </c>
    </row>
    <row r="1385" spans="1:2" x14ac:dyDescent="0.25">
      <c r="A1385" s="8">
        <v>43404</v>
      </c>
      <c r="B1385">
        <v>60.2</v>
      </c>
    </row>
    <row r="1386" spans="1:2" x14ac:dyDescent="0.25">
      <c r="A1386" s="8">
        <v>43434</v>
      </c>
      <c r="B1386">
        <v>64</v>
      </c>
    </row>
    <row r="1387" spans="1:2" x14ac:dyDescent="0.25">
      <c r="A1387" s="8">
        <v>43465</v>
      </c>
      <c r="B1387">
        <v>62.9</v>
      </c>
    </row>
    <row r="1388" spans="1:2" x14ac:dyDescent="0.25">
      <c r="A1388" s="8">
        <v>43496</v>
      </c>
      <c r="B1388">
        <v>59</v>
      </c>
    </row>
    <row r="1389" spans="1:2" x14ac:dyDescent="0.25">
      <c r="A1389" s="8">
        <v>43524</v>
      </c>
      <c r="B1389">
        <v>62.2</v>
      </c>
    </row>
    <row r="1390" spans="1:2" x14ac:dyDescent="0.25">
      <c r="A1390" s="8">
        <v>43555</v>
      </c>
      <c r="B1390">
        <v>56.9</v>
      </c>
    </row>
    <row r="1391" spans="1:2" x14ac:dyDescent="0.25">
      <c r="A1391" s="8">
        <v>43585</v>
      </c>
      <c r="B1391">
        <v>52.7</v>
      </c>
    </row>
    <row r="1392" spans="1:2" x14ac:dyDescent="0.25">
      <c r="A1392" s="8">
        <v>43616</v>
      </c>
      <c r="B1392">
        <v>51.8</v>
      </c>
    </row>
    <row r="1393" spans="1:2" x14ac:dyDescent="0.25">
      <c r="A1393" s="8">
        <v>43646</v>
      </c>
      <c r="B1393">
        <v>50.7</v>
      </c>
    </row>
    <row r="1394" spans="1:2" x14ac:dyDescent="0.25">
      <c r="A1394" s="8">
        <v>43677</v>
      </c>
      <c r="B1394">
        <v>46.3</v>
      </c>
    </row>
    <row r="1395" spans="1:2" x14ac:dyDescent="0.25">
      <c r="A1395" s="8">
        <v>43708</v>
      </c>
      <c r="B1395">
        <v>49.5</v>
      </c>
    </row>
    <row r="1396" spans="1:2" x14ac:dyDescent="0.25">
      <c r="A1396" s="8">
        <v>43738</v>
      </c>
      <c r="B1396">
        <v>47.8</v>
      </c>
    </row>
    <row r="1397" spans="1:2" x14ac:dyDescent="0.25">
      <c r="A1397" s="8">
        <v>43769</v>
      </c>
      <c r="B1397">
        <v>44</v>
      </c>
    </row>
    <row r="1398" spans="1:2" x14ac:dyDescent="0.25">
      <c r="A1398" s="8">
        <v>43799</v>
      </c>
      <c r="B1398">
        <v>47.1</v>
      </c>
    </row>
    <row r="1399" spans="1:2" x14ac:dyDescent="0.25">
      <c r="A1399" s="8">
        <v>43830</v>
      </c>
      <c r="B1399">
        <v>48</v>
      </c>
    </row>
    <row r="1400" spans="1:2" x14ac:dyDescent="0.25">
      <c r="A1400" s="8">
        <v>43861</v>
      </c>
      <c r="B1400">
        <v>43.6</v>
      </c>
    </row>
    <row r="1401" spans="1:2" x14ac:dyDescent="0.25">
      <c r="A1401" s="8">
        <v>43890</v>
      </c>
      <c r="B1401">
        <v>49.9</v>
      </c>
    </row>
    <row r="1402" spans="1:2" x14ac:dyDescent="0.25">
      <c r="A1402" s="8">
        <v>43921</v>
      </c>
      <c r="B1402">
        <v>46.9</v>
      </c>
    </row>
    <row r="1403" spans="1:2" x14ac:dyDescent="0.25">
      <c r="A1403" s="8">
        <v>43951</v>
      </c>
      <c r="B1403">
        <v>34.4</v>
      </c>
    </row>
    <row r="1404" spans="1:2" x14ac:dyDescent="0.25">
      <c r="A1404" s="8">
        <v>43982</v>
      </c>
      <c r="B1404">
        <v>31.5</v>
      </c>
    </row>
    <row r="1405" spans="1:2" x14ac:dyDescent="0.25">
      <c r="A1405" s="8">
        <v>44012</v>
      </c>
      <c r="B1405">
        <v>37.5</v>
      </c>
    </row>
    <row r="1406" spans="1:2" x14ac:dyDescent="0.25">
      <c r="A1406" s="8">
        <v>44043</v>
      </c>
      <c r="B1406">
        <v>52</v>
      </c>
    </row>
    <row r="1407" spans="1:2" x14ac:dyDescent="0.25">
      <c r="A1407" s="8">
        <v>44074</v>
      </c>
      <c r="B1407">
        <v>50.4</v>
      </c>
    </row>
    <row r="1408" spans="1:2" x14ac:dyDescent="0.25">
      <c r="A1408" s="8">
        <v>44104</v>
      </c>
      <c r="B1408">
        <v>63.5</v>
      </c>
    </row>
    <row r="1409" spans="1:2" x14ac:dyDescent="0.25">
      <c r="A1409" s="8">
        <v>44135</v>
      </c>
      <c r="B1409">
        <v>60.7</v>
      </c>
    </row>
    <row r="1410" spans="1:2" x14ac:dyDescent="0.25">
      <c r="A1410" s="8">
        <v>44165</v>
      </c>
      <c r="B1410">
        <v>59.4</v>
      </c>
    </row>
    <row r="1411" spans="1:2" x14ac:dyDescent="0.25">
      <c r="A1411" s="8">
        <v>44196</v>
      </c>
      <c r="B1411">
        <v>59.2</v>
      </c>
    </row>
    <row r="1412" spans="1:2" x14ac:dyDescent="0.25">
      <c r="A1412" s="8">
        <v>44227</v>
      </c>
      <c r="B1412">
        <v>63.9</v>
      </c>
    </row>
    <row r="1413" spans="1:2" x14ac:dyDescent="0.25">
      <c r="A1413" s="8">
        <v>44255</v>
      </c>
      <c r="B1413">
        <v>61.7</v>
      </c>
    </row>
    <row r="1414" spans="1:2" x14ac:dyDescent="0.25">
      <c r="A1414" s="8">
        <v>44286</v>
      </c>
      <c r="B1414">
        <v>64.400000000000006</v>
      </c>
    </row>
    <row r="1415" spans="1:2" x14ac:dyDescent="0.25">
      <c r="A1415" s="8">
        <v>44316</v>
      </c>
      <c r="B1415">
        <v>69.7</v>
      </c>
    </row>
    <row r="1416" spans="1:2" x14ac:dyDescent="0.25">
      <c r="A1416" s="8">
        <v>44347</v>
      </c>
      <c r="B1416">
        <v>72.400000000000006</v>
      </c>
    </row>
    <row r="1417" spans="1:2" x14ac:dyDescent="0.25">
      <c r="A1417" s="8">
        <v>44377</v>
      </c>
      <c r="B1417">
        <v>67</v>
      </c>
    </row>
    <row r="1418" spans="1:2" x14ac:dyDescent="0.25">
      <c r="A1418" s="8">
        <v>44408</v>
      </c>
      <c r="B1418">
        <v>71.8</v>
      </c>
    </row>
    <row r="1419" spans="1:2" x14ac:dyDescent="0.25">
      <c r="A1419" s="8">
        <v>44439</v>
      </c>
      <c r="B1419">
        <v>65.2</v>
      </c>
    </row>
    <row r="1420" spans="1:2" x14ac:dyDescent="0.25">
      <c r="A1420" s="8">
        <v>44469</v>
      </c>
      <c r="B1420">
        <v>67</v>
      </c>
    </row>
    <row r="1421" spans="1:2" x14ac:dyDescent="0.25">
      <c r="A1421" s="8">
        <v>44500</v>
      </c>
      <c r="B1421">
        <v>69.2</v>
      </c>
    </row>
    <row r="1422" spans="1:2" x14ac:dyDescent="0.25">
      <c r="A1422" s="8">
        <v>44530</v>
      </c>
      <c r="B1422">
        <v>64.5</v>
      </c>
    </row>
    <row r="1423" spans="1:2" x14ac:dyDescent="0.25">
      <c r="A1423" s="8">
        <v>44561</v>
      </c>
      <c r="B1423">
        <v>63.8</v>
      </c>
    </row>
    <row r="1424" spans="1:2" x14ac:dyDescent="0.25">
      <c r="A1424" s="8">
        <v>44592</v>
      </c>
      <c r="B1424">
        <v>64.599999999999994</v>
      </c>
    </row>
    <row r="1425" spans="1:2" x14ac:dyDescent="0.25">
      <c r="A1425" s="8">
        <v>44620</v>
      </c>
      <c r="B1425">
        <v>58.4</v>
      </c>
    </row>
    <row r="1426" spans="1:2" x14ac:dyDescent="0.25">
      <c r="A1426" s="8">
        <v>44651</v>
      </c>
      <c r="B1426">
        <v>61.2</v>
      </c>
    </row>
    <row r="1427" spans="1:2" x14ac:dyDescent="0.25">
      <c r="A1427" s="8">
        <v>44681</v>
      </c>
      <c r="B1427">
        <v>55.3</v>
      </c>
    </row>
    <row r="1428" spans="1:2" x14ac:dyDescent="0.25">
      <c r="A1428" s="8">
        <v>44712</v>
      </c>
      <c r="B1428">
        <v>60.4</v>
      </c>
    </row>
    <row r="1429" spans="1:2" x14ac:dyDescent="0.25">
      <c r="A1429" s="8">
        <v>44742</v>
      </c>
      <c r="B1429">
        <v>55.8</v>
      </c>
    </row>
    <row r="1430" spans="1:2" x14ac:dyDescent="0.25">
      <c r="A1430" s="8">
        <v>44773</v>
      </c>
      <c r="B1430">
        <v>51.9</v>
      </c>
    </row>
    <row r="1431" spans="1:2" x14ac:dyDescent="0.25">
      <c r="A1431" s="8">
        <v>44804</v>
      </c>
      <c r="B1431">
        <v>50.2</v>
      </c>
    </row>
    <row r="1432" spans="1:2" x14ac:dyDescent="0.25">
      <c r="A1432" s="8">
        <v>44834</v>
      </c>
      <c r="B1432">
        <v>46.9</v>
      </c>
    </row>
    <row r="1433" spans="1:2" x14ac:dyDescent="0.25">
      <c r="A1433" s="8">
        <v>44865</v>
      </c>
      <c r="B1433">
        <v>46.5</v>
      </c>
    </row>
    <row r="1434" spans="1:2" x14ac:dyDescent="0.25">
      <c r="A1434" s="8">
        <v>44895</v>
      </c>
      <c r="B1434">
        <v>38.1</v>
      </c>
    </row>
    <row r="1435" spans="1:2" x14ac:dyDescent="0.25">
      <c r="A1435" s="8">
        <v>44926</v>
      </c>
      <c r="B1435">
        <v>44.5</v>
      </c>
    </row>
    <row r="1436" spans="1:2" x14ac:dyDescent="0.25">
      <c r="A1436" s="8">
        <v>44957</v>
      </c>
      <c r="B1436">
        <v>43.8</v>
      </c>
    </row>
    <row r="1437" spans="1:2" x14ac:dyDescent="0.25">
      <c r="A1437" s="8">
        <v>44985</v>
      </c>
      <c r="B1437">
        <v>43.2</v>
      </c>
    </row>
    <row r="1438" spans="1:2" x14ac:dyDescent="0.25">
      <c r="A1438" s="8">
        <v>45016</v>
      </c>
      <c r="B1438">
        <v>43.1</v>
      </c>
    </row>
    <row r="1439" spans="1:2" x14ac:dyDescent="0.25">
      <c r="A1439" s="8">
        <v>45046</v>
      </c>
      <c r="B1439">
        <v>48.2</v>
      </c>
    </row>
    <row r="1440" spans="1:2" x14ac:dyDescent="0.25">
      <c r="A1440" s="8">
        <v>45077</v>
      </c>
      <c r="B1440">
        <v>42.5</v>
      </c>
    </row>
    <row r="1441" spans="1:2" x14ac:dyDescent="0.25">
      <c r="A1441" s="8">
        <v>45107</v>
      </c>
      <c r="B1441">
        <v>42.3</v>
      </c>
    </row>
    <row r="1442" spans="1:2" x14ac:dyDescent="0.25">
      <c r="A1442" s="8">
        <v>45138</v>
      </c>
      <c r="B1442">
        <v>43</v>
      </c>
    </row>
    <row r="1443" spans="1:2" x14ac:dyDescent="0.25">
      <c r="A1443" s="8">
        <v>45169</v>
      </c>
      <c r="B1443">
        <v>46.8</v>
      </c>
    </row>
    <row r="1444" spans="1:2" x14ac:dyDescent="0.25">
      <c r="A1444" s="8">
        <v>45199</v>
      </c>
      <c r="B1444">
        <v>44.1</v>
      </c>
    </row>
    <row r="1445" spans="1:2" x14ac:dyDescent="0.25">
      <c r="A1445" s="8">
        <v>45230</v>
      </c>
      <c r="B1445">
        <v>44.6</v>
      </c>
    </row>
    <row r="1446" spans="1:2" x14ac:dyDescent="0.25">
      <c r="A1446" s="8">
        <v>45260</v>
      </c>
      <c r="B1446">
        <v>56.3</v>
      </c>
    </row>
    <row r="1447" spans="1:2" x14ac:dyDescent="0.25">
      <c r="A1447" s="8">
        <v>45291</v>
      </c>
      <c r="B1447">
        <v>46.4</v>
      </c>
    </row>
    <row r="1448" spans="1:2" x14ac:dyDescent="0.25">
      <c r="A1448" s="8">
        <v>45322</v>
      </c>
      <c r="B1448">
        <v>46.2</v>
      </c>
    </row>
    <row r="1449" spans="1:2" x14ac:dyDescent="0.25">
      <c r="A1449" s="8">
        <v>45351</v>
      </c>
      <c r="B1449">
        <v>43.8</v>
      </c>
    </row>
    <row r="1450" spans="1:2" x14ac:dyDescent="0.25">
      <c r="A1450" s="8">
        <v>45382</v>
      </c>
      <c r="B1450">
        <v>41.2</v>
      </c>
    </row>
    <row r="1451" spans="1:2" x14ac:dyDescent="0.25">
      <c r="A1451" s="8">
        <v>45412</v>
      </c>
      <c r="B1451">
        <v>39.1</v>
      </c>
    </row>
    <row r="1452" spans="1:2" x14ac:dyDescent="0.25">
      <c r="A1452" s="8">
        <v>45443</v>
      </c>
      <c r="B1452">
        <v>37.4</v>
      </c>
    </row>
    <row r="1453" spans="1:2" x14ac:dyDescent="0.25">
      <c r="A1453" s="8">
        <v>45473</v>
      </c>
      <c r="B1453">
        <v>48.1</v>
      </c>
    </row>
    <row r="1454" spans="1:2" x14ac:dyDescent="0.25">
      <c r="A1454" s="8">
        <v>45504</v>
      </c>
      <c r="B1454">
        <v>44.5</v>
      </c>
    </row>
    <row r="1455" spans="1:2" x14ac:dyDescent="0.25">
      <c r="A1455" s="8">
        <v>45535</v>
      </c>
      <c r="B1455">
        <v>44.1</v>
      </c>
    </row>
    <row r="1456" spans="1:2" x14ac:dyDescent="0.25">
      <c r="A1456" s="8">
        <v>45565</v>
      </c>
      <c r="B1456">
        <v>45.6</v>
      </c>
    </row>
    <row r="1457" spans="1:2" x14ac:dyDescent="0.25">
      <c r="A1457" s="8">
        <v>45596</v>
      </c>
      <c r="B1457">
        <v>41.1</v>
      </c>
    </row>
    <row r="1458" spans="1:2" x14ac:dyDescent="0.25">
      <c r="A1458" s="8">
        <v>45626</v>
      </c>
      <c r="B1458">
        <v>40.799999999999997</v>
      </c>
    </row>
    <row r="1459" spans="1:2" x14ac:dyDescent="0.25">
      <c r="A1459" s="8">
        <v>45657</v>
      </c>
      <c r="B1459">
        <v>36.299999999999997</v>
      </c>
    </row>
    <row r="1460" spans="1:2" x14ac:dyDescent="0.25">
      <c r="A1460" s="8">
        <v>45688</v>
      </c>
      <c r="B1460">
        <v>39.700000000000003</v>
      </c>
    </row>
    <row r="1461" spans="1:2" x14ac:dyDescent="0.25">
      <c r="A1461" s="8">
        <v>45716</v>
      </c>
      <c r="B1461">
        <v>44.4</v>
      </c>
    </row>
    <row r="1462" spans="1:2" x14ac:dyDescent="0.25">
      <c r="A1462" s="8">
        <v>45747</v>
      </c>
      <c r="B1462">
        <v>46.2</v>
      </c>
    </row>
    <row r="1463" spans="1:2" x14ac:dyDescent="0.25">
      <c r="A1463" s="8">
        <v>45777</v>
      </c>
      <c r="B1463">
        <v>43.6</v>
      </c>
    </row>
    <row r="1464" spans="1:2" x14ac:dyDescent="0.25">
      <c r="A1464" s="8">
        <v>45808</v>
      </c>
      <c r="B1464">
        <v>42.2</v>
      </c>
    </row>
    <row r="1465" spans="1:2" x14ac:dyDescent="0.25">
      <c r="A1465" s="8">
        <v>45838</v>
      </c>
      <c r="B1465">
        <v>41</v>
      </c>
    </row>
    <row r="1466" spans="1:2" x14ac:dyDescent="0.25">
      <c r="A1466" s="8">
        <v>45869</v>
      </c>
      <c r="B1466">
        <v>47.1</v>
      </c>
    </row>
    <row r="1467" spans="1:2" x14ac:dyDescent="0.25">
      <c r="A1467" s="8">
        <v>45900</v>
      </c>
      <c r="B1467">
        <v>41.6</v>
      </c>
    </row>
    <row r="1468" spans="1:2" x14ac:dyDescent="0.25">
      <c r="A1468" s="8">
        <v>45930</v>
      </c>
      <c r="B1468">
        <v>41</v>
      </c>
    </row>
    <row r="1469" spans="1:2" x14ac:dyDescent="0.25">
      <c r="A1469" s="8">
        <v>45961</v>
      </c>
      <c r="B1469">
        <v>43.7</v>
      </c>
    </row>
    <row r="1470" spans="1:2" x14ac:dyDescent="0.25">
      <c r="A1470" s="8">
        <v>45991</v>
      </c>
      <c r="B1470">
        <v>37.299999999999997</v>
      </c>
    </row>
    <row r="1471" spans="1:2" x14ac:dyDescent="0.25">
      <c r="A1471" s="8">
        <v>46022</v>
      </c>
      <c r="B1471">
        <v>42.7</v>
      </c>
    </row>
    <row r="1472" spans="1:2" x14ac:dyDescent="0.25">
      <c r="A1472" s="8">
        <v>46053</v>
      </c>
      <c r="B1472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D6B20"/>
  </sheetPr>
  <dimension ref="A1:D1757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118</v>
      </c>
      <c r="B1" s="6" t="s">
        <v>119</v>
      </c>
      <c r="C1" s="6" t="s">
        <v>120</v>
      </c>
      <c r="D1" s="6" t="s">
        <v>54</v>
      </c>
    </row>
    <row r="2" spans="1:4" x14ac:dyDescent="0.25">
      <c r="A2" s="8">
        <f ca="1">_xll.BDH("CT786916 Corp","PX_LAST","02/01/2016",TODAY(),"Per=M","cols=2;rows=20")</f>
        <v>43189</v>
      </c>
      <c r="B2">
        <v>26.800999999999998</v>
      </c>
    </row>
    <row r="3" spans="1:4" x14ac:dyDescent="0.25">
      <c r="A3" s="8">
        <v>45471</v>
      </c>
      <c r="B3">
        <v>44.435000000000002</v>
      </c>
    </row>
    <row r="4" spans="1:4" x14ac:dyDescent="0.25">
      <c r="A4" s="8">
        <v>45504</v>
      </c>
      <c r="B4">
        <v>41.414000000000001</v>
      </c>
    </row>
    <row r="5" spans="1:4" x14ac:dyDescent="0.25">
      <c r="A5" s="8">
        <v>45534</v>
      </c>
      <c r="B5">
        <v>42.771000000000001</v>
      </c>
    </row>
    <row r="6" spans="1:4" x14ac:dyDescent="0.25">
      <c r="A6" s="8">
        <v>45565</v>
      </c>
      <c r="B6">
        <v>46.463999999999999</v>
      </c>
    </row>
    <row r="7" spans="1:4" x14ac:dyDescent="0.25">
      <c r="A7" s="8">
        <v>45596</v>
      </c>
      <c r="B7">
        <v>43.375999999999998</v>
      </c>
    </row>
    <row r="8" spans="1:4" x14ac:dyDescent="0.25">
      <c r="A8" s="8">
        <v>45625</v>
      </c>
      <c r="B8">
        <v>39.664999999999999</v>
      </c>
    </row>
    <row r="9" spans="1:4" x14ac:dyDescent="0.25">
      <c r="A9" s="8">
        <v>45657</v>
      </c>
      <c r="B9">
        <v>38.523000000000003</v>
      </c>
    </row>
    <row r="10" spans="1:4" x14ac:dyDescent="0.25">
      <c r="A10" s="8">
        <v>45688</v>
      </c>
      <c r="B10">
        <v>39.341999999999999</v>
      </c>
    </row>
    <row r="11" spans="1:4" x14ac:dyDescent="0.25">
      <c r="A11" s="8">
        <v>45716</v>
      </c>
      <c r="B11">
        <v>42.758000000000003</v>
      </c>
    </row>
    <row r="12" spans="1:4" x14ac:dyDescent="0.25">
      <c r="A12" s="8">
        <v>45747</v>
      </c>
      <c r="B12">
        <v>45.808999999999997</v>
      </c>
    </row>
    <row r="13" spans="1:4" x14ac:dyDescent="0.25">
      <c r="A13" s="8">
        <v>45777</v>
      </c>
      <c r="B13">
        <v>61.837000000000003</v>
      </c>
    </row>
    <row r="14" spans="1:4" x14ac:dyDescent="0.25">
      <c r="A14" s="8">
        <v>45807</v>
      </c>
      <c r="B14">
        <v>60.497</v>
      </c>
    </row>
    <row r="15" spans="1:4" x14ac:dyDescent="0.25">
      <c r="A15" s="8">
        <v>45838</v>
      </c>
      <c r="B15">
        <v>46.19</v>
      </c>
    </row>
    <row r="16" spans="1:4" x14ac:dyDescent="0.25">
      <c r="A16" s="8">
        <v>45869</v>
      </c>
      <c r="B16">
        <v>45.847000000000001</v>
      </c>
    </row>
    <row r="17" spans="1:2" x14ac:dyDescent="0.25">
      <c r="A17" s="8">
        <v>45930</v>
      </c>
      <c r="B17">
        <v>49.698</v>
      </c>
    </row>
    <row r="18" spans="1:2" x14ac:dyDescent="0.25">
      <c r="A18" s="8">
        <v>45961</v>
      </c>
      <c r="B18">
        <v>48.261000000000003</v>
      </c>
    </row>
    <row r="19" spans="1:2" x14ac:dyDescent="0.25">
      <c r="A19" s="8">
        <v>45989</v>
      </c>
      <c r="B19">
        <v>42.765000000000001</v>
      </c>
    </row>
    <row r="20" spans="1:2" x14ac:dyDescent="0.25">
      <c r="A20" s="8">
        <v>46022</v>
      </c>
      <c r="B20">
        <v>39.591999999999999</v>
      </c>
    </row>
    <row r="21" spans="1:2" x14ac:dyDescent="0.25">
      <c r="A21" s="8">
        <v>46052</v>
      </c>
      <c r="B21">
        <v>42.301000000000002</v>
      </c>
    </row>
    <row r="136" spans="1:4" x14ac:dyDescent="0.25">
      <c r="A136" s="6" t="s">
        <v>121</v>
      </c>
      <c r="B136" s="6" t="s">
        <v>122</v>
      </c>
      <c r="C136" s="6" t="s">
        <v>123</v>
      </c>
      <c r="D136" s="6" t="s">
        <v>54</v>
      </c>
    </row>
    <row r="137" spans="1:4" x14ac:dyDescent="0.25">
      <c r="A137" t="str">
        <f ca="1">_xll.BDH("CT786894 Corp","PX_LAST","02/01/2016",TODAY(),"Per=M")</f>
        <v>#N/A N/A</v>
      </c>
    </row>
    <row r="271" spans="1:4" x14ac:dyDescent="0.25">
      <c r="A271" s="6" t="s">
        <v>124</v>
      </c>
      <c r="B271" s="6" t="s">
        <v>125</v>
      </c>
      <c r="C271" s="6" t="s">
        <v>126</v>
      </c>
      <c r="D271" s="6" t="s">
        <v>54</v>
      </c>
    </row>
    <row r="272" spans="1:4" x14ac:dyDescent="0.25">
      <c r="A272" t="str">
        <f ca="1">_xll.BDH("CUKEL1U5 CBGN Curncy","PX_LAST","02/01/2016",TODAY(),"Per=M")</f>
        <v>#N/A Invalid Security</v>
      </c>
    </row>
    <row r="406" spans="1:4" x14ac:dyDescent="0.25">
      <c r="A406" s="6" t="s">
        <v>127</v>
      </c>
      <c r="B406" s="6" t="s">
        <v>128</v>
      </c>
      <c r="C406" s="6" t="s">
        <v>129</v>
      </c>
      <c r="D406" s="6" t="s">
        <v>54</v>
      </c>
    </row>
    <row r="407" spans="1:4" x14ac:dyDescent="0.25">
      <c r="A407" s="8">
        <f ca="1">_xll.BDH("CJGB1U5 CBGN Curncy","PX_LAST","02/01/2016",TODAY(),"Per=M","cols=2;rows=81")</f>
        <v>42398</v>
      </c>
      <c r="B407">
        <v>47.146999999999998</v>
      </c>
    </row>
    <row r="408" spans="1:4" x14ac:dyDescent="0.25">
      <c r="A408" s="8">
        <v>42460</v>
      </c>
      <c r="B408">
        <v>45.786000000000001</v>
      </c>
    </row>
    <row r="409" spans="1:4" x14ac:dyDescent="0.25">
      <c r="A409" s="8">
        <v>42947</v>
      </c>
      <c r="B409">
        <v>25.166</v>
      </c>
    </row>
    <row r="410" spans="1:4" x14ac:dyDescent="0.25">
      <c r="A410" s="8">
        <v>43707</v>
      </c>
      <c r="B410">
        <v>22.725999999999999</v>
      </c>
    </row>
    <row r="411" spans="1:4" x14ac:dyDescent="0.25">
      <c r="A411" s="8">
        <v>43738</v>
      </c>
      <c r="B411">
        <v>23.510999999999999</v>
      </c>
    </row>
    <row r="412" spans="1:4" x14ac:dyDescent="0.25">
      <c r="A412" s="8">
        <v>43769</v>
      </c>
      <c r="B412">
        <v>22.13</v>
      </c>
    </row>
    <row r="413" spans="1:4" x14ac:dyDescent="0.25">
      <c r="A413" s="8">
        <v>43798</v>
      </c>
      <c r="B413">
        <v>22.14</v>
      </c>
    </row>
    <row r="414" spans="1:4" x14ac:dyDescent="0.25">
      <c r="A414" s="8">
        <v>43830</v>
      </c>
      <c r="B414">
        <v>21.042000000000002</v>
      </c>
    </row>
    <row r="415" spans="1:4" x14ac:dyDescent="0.25">
      <c r="A415" s="8">
        <v>43861</v>
      </c>
      <c r="B415">
        <v>19.423999999999999</v>
      </c>
    </row>
    <row r="416" spans="1:4" x14ac:dyDescent="0.25">
      <c r="A416" s="8">
        <v>43889</v>
      </c>
      <c r="B416">
        <v>22.335000000000001</v>
      </c>
    </row>
    <row r="417" spans="1:2" x14ac:dyDescent="0.25">
      <c r="A417" s="8">
        <v>43921</v>
      </c>
      <c r="B417">
        <v>43.987000000000002</v>
      </c>
    </row>
    <row r="418" spans="1:2" x14ac:dyDescent="0.25">
      <c r="A418" s="8">
        <v>43951</v>
      </c>
      <c r="B418">
        <v>33.902999999999999</v>
      </c>
    </row>
    <row r="419" spans="1:2" x14ac:dyDescent="0.25">
      <c r="A419" s="8">
        <v>43980</v>
      </c>
      <c r="B419">
        <v>24.157</v>
      </c>
    </row>
    <row r="420" spans="1:2" x14ac:dyDescent="0.25">
      <c r="A420" s="8">
        <v>44012</v>
      </c>
      <c r="B420">
        <v>18.538</v>
      </c>
    </row>
    <row r="421" spans="1:2" x14ac:dyDescent="0.25">
      <c r="A421" s="8">
        <v>44043</v>
      </c>
      <c r="B421">
        <v>18.059999999999999</v>
      </c>
    </row>
    <row r="422" spans="1:2" x14ac:dyDescent="0.25">
      <c r="A422" s="8">
        <v>44074</v>
      </c>
      <c r="B422">
        <v>17.411999999999999</v>
      </c>
    </row>
    <row r="423" spans="1:2" x14ac:dyDescent="0.25">
      <c r="A423" s="8">
        <v>44104</v>
      </c>
      <c r="B423">
        <v>18.126999999999999</v>
      </c>
    </row>
    <row r="424" spans="1:2" x14ac:dyDescent="0.25">
      <c r="A424" s="8">
        <v>44134</v>
      </c>
      <c r="B424">
        <v>17.916</v>
      </c>
    </row>
    <row r="425" spans="1:2" x14ac:dyDescent="0.25">
      <c r="A425" s="8">
        <v>44165</v>
      </c>
      <c r="B425">
        <v>16.510000000000002</v>
      </c>
    </row>
    <row r="426" spans="1:2" x14ac:dyDescent="0.25">
      <c r="A426" s="8">
        <v>44196</v>
      </c>
      <c r="B426">
        <v>16.266999999999999</v>
      </c>
    </row>
    <row r="427" spans="1:2" x14ac:dyDescent="0.25">
      <c r="A427" s="8">
        <v>44225</v>
      </c>
      <c r="B427">
        <v>16.18</v>
      </c>
    </row>
    <row r="428" spans="1:2" x14ac:dyDescent="0.25">
      <c r="A428" s="8">
        <v>44253</v>
      </c>
      <c r="B428">
        <v>16.268000000000001</v>
      </c>
    </row>
    <row r="429" spans="1:2" x14ac:dyDescent="0.25">
      <c r="A429" s="8">
        <v>44286</v>
      </c>
      <c r="B429">
        <v>17.282</v>
      </c>
    </row>
    <row r="430" spans="1:2" x14ac:dyDescent="0.25">
      <c r="A430" s="8">
        <v>44316</v>
      </c>
      <c r="B430">
        <v>17.675000000000001</v>
      </c>
    </row>
    <row r="431" spans="1:2" x14ac:dyDescent="0.25">
      <c r="A431" s="8">
        <v>44347</v>
      </c>
      <c r="B431">
        <v>17.422999999999998</v>
      </c>
    </row>
    <row r="432" spans="1:2" x14ac:dyDescent="0.25">
      <c r="A432" s="8">
        <v>44377</v>
      </c>
      <c r="B432">
        <v>17.407</v>
      </c>
    </row>
    <row r="433" spans="1:2" x14ac:dyDescent="0.25">
      <c r="A433" s="8">
        <v>44407</v>
      </c>
      <c r="B433">
        <v>17.640999999999998</v>
      </c>
    </row>
    <row r="434" spans="1:2" x14ac:dyDescent="0.25">
      <c r="A434" s="8">
        <v>44439</v>
      </c>
      <c r="B434">
        <v>17.672000000000001</v>
      </c>
    </row>
    <row r="435" spans="1:2" x14ac:dyDescent="0.25">
      <c r="A435" s="8">
        <v>44469</v>
      </c>
      <c r="B435">
        <v>18.620999999999999</v>
      </c>
    </row>
    <row r="436" spans="1:2" x14ac:dyDescent="0.25">
      <c r="A436" s="8">
        <v>44498</v>
      </c>
      <c r="B436">
        <v>18.657</v>
      </c>
    </row>
    <row r="437" spans="1:2" x14ac:dyDescent="0.25">
      <c r="A437" s="8">
        <v>44530</v>
      </c>
      <c r="B437">
        <v>17.954000000000001</v>
      </c>
    </row>
    <row r="438" spans="1:2" x14ac:dyDescent="0.25">
      <c r="A438" s="8">
        <v>44561</v>
      </c>
      <c r="B438">
        <v>17.536999999999999</v>
      </c>
    </row>
    <row r="439" spans="1:2" x14ac:dyDescent="0.25">
      <c r="A439" s="8">
        <v>44592</v>
      </c>
      <c r="B439">
        <v>17.669</v>
      </c>
    </row>
    <row r="440" spans="1:2" x14ac:dyDescent="0.25">
      <c r="A440" s="8">
        <v>44620</v>
      </c>
      <c r="B440">
        <v>18.190999999999999</v>
      </c>
    </row>
    <row r="441" spans="1:2" x14ac:dyDescent="0.25">
      <c r="A441" s="8">
        <v>44651</v>
      </c>
      <c r="B441">
        <v>17.975999999999999</v>
      </c>
    </row>
    <row r="442" spans="1:2" x14ac:dyDescent="0.25">
      <c r="A442" s="8">
        <v>44680</v>
      </c>
      <c r="B442">
        <v>19</v>
      </c>
    </row>
    <row r="443" spans="1:2" x14ac:dyDescent="0.25">
      <c r="A443" s="8">
        <v>44712</v>
      </c>
      <c r="B443">
        <v>19.457000000000001</v>
      </c>
    </row>
    <row r="444" spans="1:2" x14ac:dyDescent="0.25">
      <c r="A444" s="8">
        <v>44742</v>
      </c>
      <c r="B444">
        <v>25.577999999999999</v>
      </c>
    </row>
    <row r="445" spans="1:2" x14ac:dyDescent="0.25">
      <c r="A445" s="8">
        <v>44771</v>
      </c>
      <c r="B445">
        <v>24.535</v>
      </c>
    </row>
    <row r="446" spans="1:2" x14ac:dyDescent="0.25">
      <c r="A446" s="8">
        <v>44804</v>
      </c>
      <c r="B446">
        <v>20</v>
      </c>
    </row>
    <row r="447" spans="1:2" x14ac:dyDescent="0.25">
      <c r="A447" s="8">
        <v>44834</v>
      </c>
      <c r="B447">
        <v>28.251000000000001</v>
      </c>
    </row>
    <row r="448" spans="1:2" x14ac:dyDescent="0.25">
      <c r="A448" s="8">
        <v>44865</v>
      </c>
      <c r="B448">
        <v>30.439</v>
      </c>
    </row>
    <row r="449" spans="1:2" x14ac:dyDescent="0.25">
      <c r="A449" s="8">
        <v>44895</v>
      </c>
      <c r="B449">
        <v>24.31</v>
      </c>
    </row>
    <row r="450" spans="1:2" x14ac:dyDescent="0.25">
      <c r="A450" s="8">
        <v>44925</v>
      </c>
      <c r="B450">
        <v>24.823</v>
      </c>
    </row>
    <row r="451" spans="1:2" x14ac:dyDescent="0.25">
      <c r="A451" s="8">
        <v>44957</v>
      </c>
      <c r="B451">
        <v>24.611999999999998</v>
      </c>
    </row>
    <row r="452" spans="1:2" x14ac:dyDescent="0.25">
      <c r="A452" s="8">
        <v>44985</v>
      </c>
      <c r="B452">
        <v>25.367000000000001</v>
      </c>
    </row>
    <row r="453" spans="1:2" x14ac:dyDescent="0.25">
      <c r="A453" s="8">
        <v>45016</v>
      </c>
      <c r="B453">
        <v>25.571999999999999</v>
      </c>
    </row>
    <row r="454" spans="1:2" x14ac:dyDescent="0.25">
      <c r="A454" s="8">
        <v>45044</v>
      </c>
      <c r="B454">
        <v>23.32</v>
      </c>
    </row>
    <row r="455" spans="1:2" x14ac:dyDescent="0.25">
      <c r="A455" s="8">
        <v>45077</v>
      </c>
      <c r="B455">
        <v>19.495999999999999</v>
      </c>
    </row>
    <row r="456" spans="1:2" x14ac:dyDescent="0.25">
      <c r="A456" s="8">
        <v>45107</v>
      </c>
      <c r="B456">
        <v>16.024000000000001</v>
      </c>
    </row>
    <row r="457" spans="1:2" x14ac:dyDescent="0.25">
      <c r="A457" s="8">
        <v>45138</v>
      </c>
      <c r="B457">
        <v>15.843999999999999</v>
      </c>
    </row>
    <row r="458" spans="1:2" x14ac:dyDescent="0.25">
      <c r="A458" s="8">
        <v>45169</v>
      </c>
      <c r="B458">
        <v>21.591999999999999</v>
      </c>
    </row>
    <row r="459" spans="1:2" x14ac:dyDescent="0.25">
      <c r="A459" s="8">
        <v>45198</v>
      </c>
      <c r="B459">
        <v>26.5</v>
      </c>
    </row>
    <row r="460" spans="1:2" x14ac:dyDescent="0.25">
      <c r="A460" s="8">
        <v>45230</v>
      </c>
      <c r="B460">
        <v>29.853000000000002</v>
      </c>
    </row>
    <row r="461" spans="1:2" x14ac:dyDescent="0.25">
      <c r="A461" s="8">
        <v>45260</v>
      </c>
      <c r="B461">
        <v>26.181999999999999</v>
      </c>
    </row>
    <row r="462" spans="1:2" x14ac:dyDescent="0.25">
      <c r="A462" s="8">
        <v>45289</v>
      </c>
      <c r="B462">
        <v>24.73</v>
      </c>
    </row>
    <row r="463" spans="1:2" x14ac:dyDescent="0.25">
      <c r="A463" s="8">
        <v>45322</v>
      </c>
      <c r="B463">
        <v>21.812999999999999</v>
      </c>
    </row>
    <row r="464" spans="1:2" x14ac:dyDescent="0.25">
      <c r="A464" s="8">
        <v>45351</v>
      </c>
      <c r="B464">
        <v>20.524000000000001</v>
      </c>
    </row>
    <row r="465" spans="1:2" x14ac:dyDescent="0.25">
      <c r="A465" s="8">
        <v>45380</v>
      </c>
      <c r="B465">
        <v>19.082999999999998</v>
      </c>
    </row>
    <row r="466" spans="1:2" x14ac:dyDescent="0.25">
      <c r="A466" s="8">
        <v>45412</v>
      </c>
      <c r="B466">
        <v>23.277000000000001</v>
      </c>
    </row>
    <row r="467" spans="1:2" x14ac:dyDescent="0.25">
      <c r="A467" s="8">
        <v>45443</v>
      </c>
      <c r="B467">
        <v>22.402999999999999</v>
      </c>
    </row>
    <row r="468" spans="1:2" x14ac:dyDescent="0.25">
      <c r="A468" s="8">
        <v>45471</v>
      </c>
      <c r="B468">
        <v>22.338999999999999</v>
      </c>
    </row>
    <row r="469" spans="1:2" x14ac:dyDescent="0.25">
      <c r="A469" s="8">
        <v>45504</v>
      </c>
      <c r="B469">
        <v>20.088999999999999</v>
      </c>
    </row>
    <row r="470" spans="1:2" x14ac:dyDescent="0.25">
      <c r="A470" s="8">
        <v>45534</v>
      </c>
      <c r="B470">
        <v>20.222000000000001</v>
      </c>
    </row>
    <row r="471" spans="1:2" x14ac:dyDescent="0.25">
      <c r="A471" s="8">
        <v>45565</v>
      </c>
      <c r="B471">
        <v>20.030999999999999</v>
      </c>
    </row>
    <row r="472" spans="1:2" x14ac:dyDescent="0.25">
      <c r="A472" s="8">
        <v>45596</v>
      </c>
      <c r="B472">
        <v>20.433</v>
      </c>
    </row>
    <row r="473" spans="1:2" x14ac:dyDescent="0.25">
      <c r="A473" s="8">
        <v>45625</v>
      </c>
      <c r="B473">
        <v>20.974</v>
      </c>
    </row>
    <row r="474" spans="1:2" x14ac:dyDescent="0.25">
      <c r="A474" s="8">
        <v>45657</v>
      </c>
      <c r="B474">
        <v>19.829999999999998</v>
      </c>
    </row>
    <row r="475" spans="1:2" x14ac:dyDescent="0.25">
      <c r="A475" s="8">
        <v>45688</v>
      </c>
      <c r="B475">
        <v>20.126999999999999</v>
      </c>
    </row>
    <row r="476" spans="1:2" x14ac:dyDescent="0.25">
      <c r="A476" s="8">
        <v>45716</v>
      </c>
      <c r="B476">
        <v>15.773</v>
      </c>
    </row>
    <row r="477" spans="1:2" x14ac:dyDescent="0.25">
      <c r="A477" s="8">
        <v>45747</v>
      </c>
      <c r="B477">
        <v>17.588000000000001</v>
      </c>
    </row>
    <row r="478" spans="1:2" x14ac:dyDescent="0.25">
      <c r="A478" s="8">
        <v>45777</v>
      </c>
      <c r="B478">
        <v>19.372</v>
      </c>
    </row>
    <row r="479" spans="1:2" x14ac:dyDescent="0.25">
      <c r="A479" s="8">
        <v>45807</v>
      </c>
      <c r="B479">
        <v>21.37</v>
      </c>
    </row>
    <row r="480" spans="1:2" x14ac:dyDescent="0.25">
      <c r="A480" s="8">
        <v>45838</v>
      </c>
      <c r="B480">
        <v>19.809999999999999</v>
      </c>
    </row>
    <row r="481" spans="1:2" x14ac:dyDescent="0.25">
      <c r="A481" s="8">
        <v>45869</v>
      </c>
      <c r="B481">
        <v>20.701000000000001</v>
      </c>
    </row>
    <row r="482" spans="1:2" x14ac:dyDescent="0.25">
      <c r="A482" s="8">
        <v>45898</v>
      </c>
      <c r="B482">
        <v>19.094000000000001</v>
      </c>
    </row>
    <row r="483" spans="1:2" x14ac:dyDescent="0.25">
      <c r="A483" s="8">
        <v>45930</v>
      </c>
      <c r="B483">
        <v>19.088000000000001</v>
      </c>
    </row>
    <row r="484" spans="1:2" x14ac:dyDescent="0.25">
      <c r="A484" s="8">
        <v>45961</v>
      </c>
      <c r="B484">
        <v>19.724</v>
      </c>
    </row>
    <row r="485" spans="1:2" x14ac:dyDescent="0.25">
      <c r="A485" s="8">
        <v>45989</v>
      </c>
      <c r="B485">
        <v>21.954000000000001</v>
      </c>
    </row>
    <row r="486" spans="1:2" x14ac:dyDescent="0.25">
      <c r="A486" s="8">
        <v>46022</v>
      </c>
      <c r="B486">
        <v>23.907</v>
      </c>
    </row>
    <row r="487" spans="1:2" x14ac:dyDescent="0.25">
      <c r="A487" s="8">
        <v>46052</v>
      </c>
      <c r="B487">
        <v>25.777999999999999</v>
      </c>
    </row>
    <row r="541" spans="1:4" x14ac:dyDescent="0.25">
      <c r="A541" s="6" t="s">
        <v>130</v>
      </c>
      <c r="B541" s="6" t="s">
        <v>131</v>
      </c>
      <c r="C541" s="6" t="s">
        <v>132</v>
      </c>
      <c r="D541" s="6" t="s">
        <v>54</v>
      </c>
    </row>
    <row r="542" spans="1:4" x14ac:dyDescent="0.25">
      <c r="A542" s="8">
        <f ca="1">_xll.BDH("CT786904 Corp","PX_LAST","02/01/2016",TODAY(),"Per=M","cols=2;rows=20")</f>
        <v>43189</v>
      </c>
      <c r="B542">
        <v>22.931000000000001</v>
      </c>
    </row>
    <row r="543" spans="1:4" x14ac:dyDescent="0.25">
      <c r="A543" s="8">
        <v>45471</v>
      </c>
      <c r="B543">
        <v>41.789000000000001</v>
      </c>
    </row>
    <row r="544" spans="1:4" x14ac:dyDescent="0.25">
      <c r="A544" s="8">
        <v>45504</v>
      </c>
      <c r="B544">
        <v>39.704000000000001</v>
      </c>
    </row>
    <row r="545" spans="1:2" x14ac:dyDescent="0.25">
      <c r="A545" s="8">
        <v>45534</v>
      </c>
      <c r="B545">
        <v>39.530999999999999</v>
      </c>
    </row>
    <row r="546" spans="1:2" x14ac:dyDescent="0.25">
      <c r="A546" s="8">
        <v>45565</v>
      </c>
      <c r="B546">
        <v>44.106000000000002</v>
      </c>
    </row>
    <row r="547" spans="1:2" x14ac:dyDescent="0.25">
      <c r="A547" s="8">
        <v>45596</v>
      </c>
      <c r="B547">
        <v>43.337000000000003</v>
      </c>
    </row>
    <row r="548" spans="1:2" x14ac:dyDescent="0.25">
      <c r="A548" s="8">
        <v>45625</v>
      </c>
      <c r="B548">
        <v>36.642000000000003</v>
      </c>
    </row>
    <row r="549" spans="1:2" x14ac:dyDescent="0.25">
      <c r="A549" s="8">
        <v>45657</v>
      </c>
      <c r="B549">
        <v>35.523000000000003</v>
      </c>
    </row>
    <row r="550" spans="1:2" x14ac:dyDescent="0.25">
      <c r="A550" s="8">
        <v>45688</v>
      </c>
      <c r="B550">
        <v>37.228000000000002</v>
      </c>
    </row>
    <row r="551" spans="1:2" x14ac:dyDescent="0.25">
      <c r="A551" s="8">
        <v>45716</v>
      </c>
      <c r="B551">
        <v>40.658999999999999</v>
      </c>
    </row>
    <row r="552" spans="1:2" x14ac:dyDescent="0.25">
      <c r="A552" s="8">
        <v>45747</v>
      </c>
      <c r="B552">
        <v>42.972000000000001</v>
      </c>
    </row>
    <row r="553" spans="1:2" x14ac:dyDescent="0.25">
      <c r="A553" s="8">
        <v>45777</v>
      </c>
      <c r="B553">
        <v>58.886000000000003</v>
      </c>
    </row>
    <row r="554" spans="1:2" x14ac:dyDescent="0.25">
      <c r="A554" s="8">
        <v>45807</v>
      </c>
      <c r="B554">
        <v>57.771000000000001</v>
      </c>
    </row>
    <row r="555" spans="1:2" x14ac:dyDescent="0.25">
      <c r="A555" s="8">
        <v>45838</v>
      </c>
      <c r="B555">
        <v>45.128</v>
      </c>
    </row>
    <row r="556" spans="1:2" x14ac:dyDescent="0.25">
      <c r="A556" s="8">
        <v>45869</v>
      </c>
      <c r="B556">
        <v>43.593000000000004</v>
      </c>
    </row>
    <row r="557" spans="1:2" x14ac:dyDescent="0.25">
      <c r="A557" s="8">
        <v>45930</v>
      </c>
      <c r="B557">
        <v>46.177</v>
      </c>
    </row>
    <row r="558" spans="1:2" x14ac:dyDescent="0.25">
      <c r="A558" s="8">
        <v>45961</v>
      </c>
      <c r="B558">
        <v>44.780999999999999</v>
      </c>
    </row>
    <row r="559" spans="1:2" x14ac:dyDescent="0.25">
      <c r="A559" s="8">
        <v>45989</v>
      </c>
      <c r="B559">
        <v>38.517000000000003</v>
      </c>
    </row>
    <row r="560" spans="1:2" x14ac:dyDescent="0.25">
      <c r="A560" s="8">
        <v>46022</v>
      </c>
      <c r="B560">
        <v>35.347000000000001</v>
      </c>
    </row>
    <row r="561" spans="1:2" x14ac:dyDescent="0.25">
      <c r="A561" s="8">
        <v>46052</v>
      </c>
      <c r="B561">
        <v>37.972999999999999</v>
      </c>
    </row>
    <row r="676" spans="1:4" x14ac:dyDescent="0.25">
      <c r="A676" s="6" t="s">
        <v>133</v>
      </c>
      <c r="B676" s="6" t="s">
        <v>134</v>
      </c>
      <c r="C676" s="6" t="s">
        <v>135</v>
      </c>
      <c r="D676" s="6" t="s">
        <v>54</v>
      </c>
    </row>
    <row r="677" spans="1:4" x14ac:dyDescent="0.25">
      <c r="A677" t="str">
        <f ca="1">_xll.BDH("CT786910 Corp","PX_LAST","02/01/2016",TODAY(),"Per=M")</f>
        <v>#N/A N/A</v>
      </c>
    </row>
    <row r="811" spans="1:4" x14ac:dyDescent="0.25">
      <c r="A811" s="6" t="s">
        <v>136</v>
      </c>
      <c r="B811" s="6" t="s">
        <v>137</v>
      </c>
      <c r="C811" s="6" t="s">
        <v>138</v>
      </c>
      <c r="D811" s="6" t="s">
        <v>54</v>
      </c>
    </row>
    <row r="812" spans="1:4" x14ac:dyDescent="0.25">
      <c r="A812" t="str">
        <f ca="1">_xll.BDH("CT786900 Corp","PX_LAST","02/01/2016",TODAY(),"Per=M")</f>
        <v>#N/A N/A</v>
      </c>
    </row>
    <row r="946" spans="1:4" x14ac:dyDescent="0.25">
      <c r="A946" s="6" t="s">
        <v>139</v>
      </c>
      <c r="B946" s="6" t="s">
        <v>140</v>
      </c>
      <c r="C946" s="6" t="s">
        <v>141</v>
      </c>
      <c r="D946" s="6" t="s">
        <v>54</v>
      </c>
    </row>
    <row r="947" spans="1:4" x14ac:dyDescent="0.25">
      <c r="A947" t="str">
        <f ca="1">_xll.BDH("CT786878 Corp","PX_LAST","02/01/2016",TODAY(),"Per=M")</f>
        <v>#N/A N/A</v>
      </c>
    </row>
    <row r="1081" spans="1:4" x14ac:dyDescent="0.25">
      <c r="A1081" s="6" t="s">
        <v>142</v>
      </c>
      <c r="B1081" s="6" t="s">
        <v>143</v>
      </c>
      <c r="C1081" s="6" t="s">
        <v>144</v>
      </c>
      <c r="D1081" s="6" t="s">
        <v>54</v>
      </c>
    </row>
    <row r="1082" spans="1:4" x14ac:dyDescent="0.25">
      <c r="A1082" t="str">
        <f ca="1">_xll.BDH("CT786912 Corp","PX_LAST","02/01/2016",TODAY(),"Per=M")</f>
        <v>#N/A N/A</v>
      </c>
    </row>
    <row r="1216" spans="1:4" x14ac:dyDescent="0.25">
      <c r="A1216" s="6" t="s">
        <v>145</v>
      </c>
      <c r="B1216" s="6" t="s">
        <v>146</v>
      </c>
      <c r="C1216" s="6" t="s">
        <v>147</v>
      </c>
      <c r="D1216" s="6" t="s">
        <v>54</v>
      </c>
    </row>
    <row r="1217" spans="1:2" x14ac:dyDescent="0.25">
      <c r="A1217" s="8">
        <f ca="1">_xll.BDH("CT786884 Corp","PX_LAST","02/01/2016",TODAY(),"Per=M","cols=2;rows=20")</f>
        <v>43189</v>
      </c>
      <c r="B1217">
        <v>16.878</v>
      </c>
    </row>
    <row r="1218" spans="1:2" x14ac:dyDescent="0.25">
      <c r="A1218" s="8">
        <v>45471</v>
      </c>
      <c r="B1218">
        <v>33.57</v>
      </c>
    </row>
    <row r="1219" spans="1:2" x14ac:dyDescent="0.25">
      <c r="A1219" s="8">
        <v>45504</v>
      </c>
      <c r="B1219">
        <v>30.100999999999999</v>
      </c>
    </row>
    <row r="1220" spans="1:2" x14ac:dyDescent="0.25">
      <c r="A1220" s="8">
        <v>45534</v>
      </c>
      <c r="B1220">
        <v>30.945</v>
      </c>
    </row>
    <row r="1221" spans="1:2" x14ac:dyDescent="0.25">
      <c r="A1221" s="8">
        <v>45565</v>
      </c>
      <c r="B1221">
        <v>35.284999999999997</v>
      </c>
    </row>
    <row r="1222" spans="1:2" x14ac:dyDescent="0.25">
      <c r="A1222" s="8">
        <v>45596</v>
      </c>
      <c r="B1222">
        <v>45.332000000000001</v>
      </c>
    </row>
    <row r="1223" spans="1:2" x14ac:dyDescent="0.25">
      <c r="A1223" s="8">
        <v>45625</v>
      </c>
      <c r="B1223">
        <v>23.683</v>
      </c>
    </row>
    <row r="1224" spans="1:2" x14ac:dyDescent="0.25">
      <c r="A1224" s="8">
        <v>45657</v>
      </c>
      <c r="B1224">
        <v>25.629000000000001</v>
      </c>
    </row>
    <row r="1225" spans="1:2" x14ac:dyDescent="0.25">
      <c r="A1225" s="8">
        <v>45688</v>
      </c>
      <c r="B1225">
        <v>26.442</v>
      </c>
    </row>
    <row r="1226" spans="1:2" x14ac:dyDescent="0.25">
      <c r="A1226" s="8">
        <v>45716</v>
      </c>
      <c r="B1226">
        <v>34.506999999999998</v>
      </c>
    </row>
    <row r="1227" spans="1:2" x14ac:dyDescent="0.25">
      <c r="A1227" s="8">
        <v>45747</v>
      </c>
      <c r="B1227">
        <v>41.73</v>
      </c>
    </row>
    <row r="1228" spans="1:2" x14ac:dyDescent="0.25">
      <c r="A1228" s="8">
        <v>45777</v>
      </c>
      <c r="B1228">
        <v>60.015000000000001</v>
      </c>
    </row>
    <row r="1229" spans="1:2" x14ac:dyDescent="0.25">
      <c r="A1229" s="8">
        <v>45807</v>
      </c>
      <c r="B1229">
        <v>57.572000000000003</v>
      </c>
    </row>
    <row r="1230" spans="1:2" x14ac:dyDescent="0.25">
      <c r="A1230" s="8">
        <v>45838</v>
      </c>
      <c r="B1230">
        <v>41.511000000000003</v>
      </c>
    </row>
    <row r="1231" spans="1:2" x14ac:dyDescent="0.25">
      <c r="A1231" s="8">
        <v>45869</v>
      </c>
      <c r="B1231">
        <v>41.204000000000001</v>
      </c>
    </row>
    <row r="1232" spans="1:2" x14ac:dyDescent="0.25">
      <c r="A1232" s="8">
        <v>45930</v>
      </c>
      <c r="B1232">
        <v>27.510999999999999</v>
      </c>
    </row>
    <row r="1233" spans="1:2" x14ac:dyDescent="0.25">
      <c r="A1233" s="8">
        <v>45961</v>
      </c>
      <c r="B1233">
        <v>27.567</v>
      </c>
    </row>
    <row r="1234" spans="1:2" x14ac:dyDescent="0.25">
      <c r="A1234" s="8">
        <v>45989</v>
      </c>
      <c r="B1234">
        <v>20.538</v>
      </c>
    </row>
    <row r="1235" spans="1:2" x14ac:dyDescent="0.25">
      <c r="A1235" s="8">
        <v>46022</v>
      </c>
      <c r="B1235">
        <v>18.149000000000001</v>
      </c>
    </row>
    <row r="1236" spans="1:2" x14ac:dyDescent="0.25">
      <c r="A1236" s="8">
        <v>46052</v>
      </c>
      <c r="B1236">
        <v>21.613</v>
      </c>
    </row>
    <row r="1351" spans="1:4" x14ac:dyDescent="0.25">
      <c r="A1351" s="6" t="s">
        <v>148</v>
      </c>
      <c r="B1351" s="6" t="s">
        <v>149</v>
      </c>
      <c r="C1351" s="6" t="s">
        <v>150</v>
      </c>
      <c r="D1351" s="6" t="s">
        <v>54</v>
      </c>
    </row>
    <row r="1352" spans="1:4" x14ac:dyDescent="0.25">
      <c r="A1352" t="str">
        <f ca="1">_xll.BDH("CT786914 Corp","PX_LAST","02/01/2016",TODAY(),"Per=M")</f>
        <v>#N/A N/A</v>
      </c>
    </row>
    <row r="1486" spans="1:4" x14ac:dyDescent="0.25">
      <c r="A1486" s="6" t="s">
        <v>151</v>
      </c>
      <c r="B1486" s="6" t="s">
        <v>152</v>
      </c>
      <c r="C1486" s="6" t="s">
        <v>153</v>
      </c>
      <c r="D1486" s="6" t="s">
        <v>54</v>
      </c>
    </row>
    <row r="1487" spans="1:4" x14ac:dyDescent="0.25">
      <c r="A1487" t="str">
        <f ca="1">_xll.BDH("CT786882 Corp","PX_LAST","02/01/2016",TODAY(),"Per=M")</f>
        <v>#N/A N/A</v>
      </c>
    </row>
    <row r="1621" spans="1:4" x14ac:dyDescent="0.25">
      <c r="A1621" s="6" t="s">
        <v>154</v>
      </c>
      <c r="B1621" s="6" t="s">
        <v>155</v>
      </c>
      <c r="C1621" s="6" t="s">
        <v>156</v>
      </c>
      <c r="D1621" s="6" t="s">
        <v>54</v>
      </c>
    </row>
    <row r="1622" spans="1:4" x14ac:dyDescent="0.25">
      <c r="A1622" s="8">
        <f ca="1">_xll.BDH("CT786880 Corp","PX_LAST","02/01/2016",TODAY(),"Per=M","cols=2;rows=20")</f>
        <v>43189</v>
      </c>
      <c r="B1622">
        <v>14.539</v>
      </c>
    </row>
    <row r="1623" spans="1:4" x14ac:dyDescent="0.25">
      <c r="A1623" s="8">
        <v>45471</v>
      </c>
      <c r="B1623">
        <v>21.629000000000001</v>
      </c>
    </row>
    <row r="1624" spans="1:4" x14ac:dyDescent="0.25">
      <c r="A1624" s="8">
        <v>45504</v>
      </c>
      <c r="B1624">
        <v>19.024000000000001</v>
      </c>
    </row>
    <row r="1625" spans="1:4" x14ac:dyDescent="0.25">
      <c r="A1625" s="8">
        <v>45534</v>
      </c>
      <c r="B1625">
        <v>18.126000000000001</v>
      </c>
    </row>
    <row r="1626" spans="1:4" x14ac:dyDescent="0.25">
      <c r="A1626" s="8">
        <v>45565</v>
      </c>
      <c r="B1626">
        <v>30.068000000000001</v>
      </c>
    </row>
    <row r="1627" spans="1:4" x14ac:dyDescent="0.25">
      <c r="A1627" s="8">
        <v>45596</v>
      </c>
      <c r="B1627">
        <v>47.692999999999998</v>
      </c>
    </row>
    <row r="1628" spans="1:4" x14ac:dyDescent="0.25">
      <c r="A1628" s="8">
        <v>45625</v>
      </c>
      <c r="B1628">
        <v>15.718999999999999</v>
      </c>
    </row>
    <row r="1629" spans="1:4" x14ac:dyDescent="0.25">
      <c r="A1629" s="8">
        <v>45657</v>
      </c>
      <c r="B1629">
        <v>19.681000000000001</v>
      </c>
    </row>
    <row r="1630" spans="1:4" x14ac:dyDescent="0.25">
      <c r="A1630" s="8">
        <v>45688</v>
      </c>
      <c r="B1630">
        <v>23.742000000000001</v>
      </c>
    </row>
    <row r="1631" spans="1:4" x14ac:dyDescent="0.25">
      <c r="A1631" s="8">
        <v>45716</v>
      </c>
      <c r="B1631">
        <v>28.606000000000002</v>
      </c>
    </row>
    <row r="1632" spans="1:4" x14ac:dyDescent="0.25">
      <c r="A1632" s="8">
        <v>45747</v>
      </c>
      <c r="B1632">
        <v>41.970999999999997</v>
      </c>
    </row>
    <row r="1633" spans="1:2" x14ac:dyDescent="0.25">
      <c r="A1633" s="8">
        <v>45777</v>
      </c>
      <c r="B1633">
        <v>64.201999999999998</v>
      </c>
    </row>
    <row r="1634" spans="1:2" x14ac:dyDescent="0.25">
      <c r="A1634" s="8">
        <v>45807</v>
      </c>
      <c r="B1634">
        <v>59.814</v>
      </c>
    </row>
    <row r="1635" spans="1:2" x14ac:dyDescent="0.25">
      <c r="A1635" s="8">
        <v>45838</v>
      </c>
      <c r="B1635">
        <v>41.59</v>
      </c>
    </row>
    <row r="1636" spans="1:2" x14ac:dyDescent="0.25">
      <c r="A1636" s="8">
        <v>45869</v>
      </c>
      <c r="B1636">
        <v>39.765999999999998</v>
      </c>
    </row>
    <row r="1637" spans="1:2" x14ac:dyDescent="0.25">
      <c r="A1637" s="8">
        <v>45930</v>
      </c>
      <c r="B1637">
        <v>19.966000000000001</v>
      </c>
    </row>
    <row r="1638" spans="1:2" x14ac:dyDescent="0.25">
      <c r="A1638" s="8">
        <v>45961</v>
      </c>
      <c r="B1638">
        <v>18.271000000000001</v>
      </c>
    </row>
    <row r="1639" spans="1:2" x14ac:dyDescent="0.25">
      <c r="A1639" s="8">
        <v>45989</v>
      </c>
      <c r="B1639">
        <v>11.587</v>
      </c>
    </row>
    <row r="1640" spans="1:2" x14ac:dyDescent="0.25">
      <c r="A1640" s="8">
        <v>46022</v>
      </c>
      <c r="B1640">
        <v>8.5169999999999995</v>
      </c>
    </row>
    <row r="1641" spans="1:2" x14ac:dyDescent="0.25">
      <c r="A1641" s="8">
        <v>46052</v>
      </c>
      <c r="B1641">
        <v>12.265000000000001</v>
      </c>
    </row>
    <row r="1756" spans="1:4" x14ac:dyDescent="0.25">
      <c r="A1756" s="6" t="s">
        <v>157</v>
      </c>
      <c r="B1756" s="6" t="s">
        <v>158</v>
      </c>
      <c r="C1756" s="6" t="s">
        <v>159</v>
      </c>
      <c r="D1756" s="6" t="s">
        <v>54</v>
      </c>
    </row>
    <row r="1757" spans="1:4" x14ac:dyDescent="0.25">
      <c r="A1757" t="str">
        <f ca="1">_xll.BDH("CT786918 Corp","PX_LAST","02/01/2016",TODAY(),"Per=M")</f>
        <v>#N/A N/A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D6B20"/>
  </sheetPr>
  <dimension ref="A1:D1622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160</v>
      </c>
      <c r="B1" s="6" t="s">
        <v>161</v>
      </c>
      <c r="C1" s="6" t="s">
        <v>162</v>
      </c>
      <c r="D1" s="6" t="s">
        <v>54</v>
      </c>
    </row>
    <row r="2" spans="1:4" x14ac:dyDescent="0.25">
      <c r="A2" s="8">
        <f ca="1">_xll.BDH("LUACOAS Index","PX_LAST","02/01/2016",TODAY(),"Per=M","cols=2;rows=121")</f>
        <v>42398</v>
      </c>
      <c r="B2">
        <v>1.93</v>
      </c>
    </row>
    <row r="3" spans="1:4" x14ac:dyDescent="0.25">
      <c r="A3" s="8">
        <v>42429</v>
      </c>
      <c r="B3">
        <v>1.97</v>
      </c>
    </row>
    <row r="4" spans="1:4" x14ac:dyDescent="0.25">
      <c r="A4" s="8">
        <v>42460</v>
      </c>
      <c r="B4">
        <v>1.63</v>
      </c>
    </row>
    <row r="5" spans="1:4" x14ac:dyDescent="0.25">
      <c r="A5" s="8">
        <v>42489</v>
      </c>
      <c r="B5">
        <v>1.46</v>
      </c>
    </row>
    <row r="6" spans="1:4" x14ac:dyDescent="0.25">
      <c r="A6" s="8">
        <v>42521</v>
      </c>
      <c r="B6">
        <v>1.49</v>
      </c>
    </row>
    <row r="7" spans="1:4" x14ac:dyDescent="0.25">
      <c r="A7" s="8">
        <v>42551</v>
      </c>
      <c r="B7">
        <v>1.56</v>
      </c>
    </row>
    <row r="8" spans="1:4" x14ac:dyDescent="0.25">
      <c r="A8" s="8">
        <v>42580</v>
      </c>
      <c r="B8">
        <v>1.45</v>
      </c>
    </row>
    <row r="9" spans="1:4" x14ac:dyDescent="0.25">
      <c r="A9" s="8">
        <v>42613</v>
      </c>
      <c r="B9">
        <v>1.35</v>
      </c>
    </row>
    <row r="10" spans="1:4" x14ac:dyDescent="0.25">
      <c r="A10" s="8">
        <v>42643</v>
      </c>
      <c r="B10">
        <v>1.38</v>
      </c>
    </row>
    <row r="11" spans="1:4" x14ac:dyDescent="0.25">
      <c r="A11" s="8">
        <v>42674</v>
      </c>
      <c r="B11">
        <v>1.32</v>
      </c>
    </row>
    <row r="12" spans="1:4" x14ac:dyDescent="0.25">
      <c r="A12" s="8">
        <v>42704</v>
      </c>
      <c r="B12">
        <v>1.29</v>
      </c>
    </row>
    <row r="13" spans="1:4" x14ac:dyDescent="0.25">
      <c r="A13" s="8">
        <v>42734</v>
      </c>
      <c r="B13">
        <v>1.23</v>
      </c>
    </row>
    <row r="14" spans="1:4" x14ac:dyDescent="0.25">
      <c r="A14" s="8">
        <v>42766</v>
      </c>
      <c r="B14">
        <v>1.21</v>
      </c>
    </row>
    <row r="15" spans="1:4" x14ac:dyDescent="0.25">
      <c r="A15" s="8">
        <v>42794</v>
      </c>
      <c r="B15">
        <v>1.1499999999999999</v>
      </c>
    </row>
    <row r="16" spans="1:4" x14ac:dyDescent="0.25">
      <c r="A16" s="8">
        <v>42825</v>
      </c>
      <c r="B16">
        <v>1.18</v>
      </c>
    </row>
    <row r="17" spans="1:2" x14ac:dyDescent="0.25">
      <c r="A17" s="8">
        <v>42853</v>
      </c>
      <c r="B17">
        <v>1.1599999999999999</v>
      </c>
    </row>
    <row r="18" spans="1:2" x14ac:dyDescent="0.25">
      <c r="A18" s="8">
        <v>42886</v>
      </c>
      <c r="B18">
        <v>1.1299999999999999</v>
      </c>
    </row>
    <row r="19" spans="1:2" x14ac:dyDescent="0.25">
      <c r="A19" s="8">
        <v>42916</v>
      </c>
      <c r="B19">
        <v>1.0900000000000001</v>
      </c>
    </row>
    <row r="20" spans="1:2" x14ac:dyDescent="0.25">
      <c r="A20" s="8">
        <v>42947</v>
      </c>
      <c r="B20">
        <v>1.02</v>
      </c>
    </row>
    <row r="21" spans="1:2" x14ac:dyDescent="0.25">
      <c r="A21" s="8">
        <v>42978</v>
      </c>
      <c r="B21">
        <v>1.1000000000000001</v>
      </c>
    </row>
    <row r="22" spans="1:2" x14ac:dyDescent="0.25">
      <c r="A22" s="8">
        <v>43007</v>
      </c>
      <c r="B22">
        <v>1.01</v>
      </c>
    </row>
    <row r="23" spans="1:2" x14ac:dyDescent="0.25">
      <c r="A23" s="8">
        <v>43039</v>
      </c>
      <c r="B23">
        <v>0.95</v>
      </c>
    </row>
    <row r="24" spans="1:2" x14ac:dyDescent="0.25">
      <c r="A24" s="8">
        <v>43069</v>
      </c>
      <c r="B24">
        <v>0.97</v>
      </c>
    </row>
    <row r="25" spans="1:2" x14ac:dyDescent="0.25">
      <c r="A25" s="8">
        <v>43098</v>
      </c>
      <c r="B25">
        <v>0.93</v>
      </c>
    </row>
    <row r="26" spans="1:2" x14ac:dyDescent="0.25">
      <c r="A26" s="8">
        <v>43131</v>
      </c>
      <c r="B26">
        <v>0.86</v>
      </c>
    </row>
    <row r="27" spans="1:2" x14ac:dyDescent="0.25">
      <c r="A27" s="8">
        <v>43159</v>
      </c>
      <c r="B27">
        <v>0.96</v>
      </c>
    </row>
    <row r="28" spans="1:2" x14ac:dyDescent="0.25">
      <c r="A28" s="8">
        <v>43189</v>
      </c>
      <c r="B28">
        <v>1.0900000000000001</v>
      </c>
    </row>
    <row r="29" spans="1:2" x14ac:dyDescent="0.25">
      <c r="A29" s="8">
        <v>43220</v>
      </c>
      <c r="B29">
        <v>1.08</v>
      </c>
    </row>
    <row r="30" spans="1:2" x14ac:dyDescent="0.25">
      <c r="A30" s="8">
        <v>43251</v>
      </c>
      <c r="B30">
        <v>1.1499999999999999</v>
      </c>
    </row>
    <row r="31" spans="1:2" x14ac:dyDescent="0.25">
      <c r="A31" s="8">
        <v>43280</v>
      </c>
      <c r="B31">
        <v>1.23</v>
      </c>
    </row>
    <row r="32" spans="1:2" x14ac:dyDescent="0.25">
      <c r="A32" s="8">
        <v>43312</v>
      </c>
      <c r="B32">
        <v>1.0900000000000001</v>
      </c>
    </row>
    <row r="33" spans="1:2" x14ac:dyDescent="0.25">
      <c r="A33" s="8">
        <v>43343</v>
      </c>
      <c r="B33">
        <v>1.1399999999999999</v>
      </c>
    </row>
    <row r="34" spans="1:2" x14ac:dyDescent="0.25">
      <c r="A34" s="8">
        <v>43371</v>
      </c>
      <c r="B34">
        <v>1.06</v>
      </c>
    </row>
    <row r="35" spans="1:2" x14ac:dyDescent="0.25">
      <c r="A35" s="8">
        <v>43404</v>
      </c>
      <c r="B35">
        <v>1.18</v>
      </c>
    </row>
    <row r="36" spans="1:2" x14ac:dyDescent="0.25">
      <c r="A36" s="8">
        <v>43434</v>
      </c>
      <c r="B36">
        <v>1.37</v>
      </c>
    </row>
    <row r="37" spans="1:2" x14ac:dyDescent="0.25">
      <c r="A37" s="8">
        <v>43465</v>
      </c>
      <c r="B37">
        <v>1.53</v>
      </c>
    </row>
    <row r="38" spans="1:2" x14ac:dyDescent="0.25">
      <c r="A38" s="8">
        <v>43496</v>
      </c>
      <c r="B38">
        <v>1.28</v>
      </c>
    </row>
    <row r="39" spans="1:2" x14ac:dyDescent="0.25">
      <c r="A39" s="8">
        <v>43524</v>
      </c>
      <c r="B39">
        <v>1.21</v>
      </c>
    </row>
    <row r="40" spans="1:2" x14ac:dyDescent="0.25">
      <c r="A40" s="8">
        <v>43553</v>
      </c>
      <c r="B40">
        <v>1.19</v>
      </c>
    </row>
    <row r="41" spans="1:2" x14ac:dyDescent="0.25">
      <c r="A41" s="8">
        <v>43585</v>
      </c>
      <c r="B41">
        <v>1.1100000000000001</v>
      </c>
    </row>
    <row r="42" spans="1:2" x14ac:dyDescent="0.25">
      <c r="A42" s="8">
        <v>43616</v>
      </c>
      <c r="B42">
        <v>1.28</v>
      </c>
    </row>
    <row r="43" spans="1:2" x14ac:dyDescent="0.25">
      <c r="A43" s="8">
        <v>43644</v>
      </c>
      <c r="B43">
        <v>1.1499999999999999</v>
      </c>
    </row>
    <row r="44" spans="1:2" x14ac:dyDescent="0.25">
      <c r="A44" s="8">
        <v>43677</v>
      </c>
      <c r="B44">
        <v>1.08</v>
      </c>
    </row>
    <row r="45" spans="1:2" x14ac:dyDescent="0.25">
      <c r="A45" s="8">
        <v>43707</v>
      </c>
      <c r="B45">
        <v>1.2</v>
      </c>
    </row>
    <row r="46" spans="1:2" x14ac:dyDescent="0.25">
      <c r="A46" s="8">
        <v>43738</v>
      </c>
      <c r="B46">
        <v>1.1499999999999999</v>
      </c>
    </row>
    <row r="47" spans="1:2" x14ac:dyDescent="0.25">
      <c r="A47" s="8">
        <v>43769</v>
      </c>
      <c r="B47">
        <v>1.1000000000000001</v>
      </c>
    </row>
    <row r="48" spans="1:2" x14ac:dyDescent="0.25">
      <c r="A48" s="8">
        <v>43798</v>
      </c>
      <c r="B48">
        <v>1.05</v>
      </c>
    </row>
    <row r="49" spans="1:2" x14ac:dyDescent="0.25">
      <c r="A49" s="8">
        <v>43830</v>
      </c>
      <c r="B49">
        <v>0.93</v>
      </c>
    </row>
    <row r="50" spans="1:2" x14ac:dyDescent="0.25">
      <c r="A50" s="8">
        <v>43861</v>
      </c>
      <c r="B50">
        <v>1.02</v>
      </c>
    </row>
    <row r="51" spans="1:2" x14ac:dyDescent="0.25">
      <c r="A51" s="8">
        <v>43889</v>
      </c>
      <c r="B51">
        <v>1.22</v>
      </c>
    </row>
    <row r="52" spans="1:2" x14ac:dyDescent="0.25">
      <c r="A52" s="8">
        <v>43921</v>
      </c>
      <c r="B52">
        <v>2.72</v>
      </c>
    </row>
    <row r="53" spans="1:2" x14ac:dyDescent="0.25">
      <c r="A53" s="8">
        <v>43951</v>
      </c>
      <c r="B53">
        <v>2.02</v>
      </c>
    </row>
    <row r="54" spans="1:2" x14ac:dyDescent="0.25">
      <c r="A54" s="8">
        <v>43980</v>
      </c>
      <c r="B54">
        <v>1.74</v>
      </c>
    </row>
    <row r="55" spans="1:2" x14ac:dyDescent="0.25">
      <c r="A55" s="8">
        <v>44012</v>
      </c>
      <c r="B55">
        <v>1.5</v>
      </c>
    </row>
    <row r="56" spans="1:2" x14ac:dyDescent="0.25">
      <c r="A56" s="8">
        <v>44043</v>
      </c>
      <c r="B56">
        <v>1.33</v>
      </c>
    </row>
    <row r="57" spans="1:2" x14ac:dyDescent="0.25">
      <c r="A57" s="8">
        <v>44074</v>
      </c>
      <c r="B57">
        <v>1.29</v>
      </c>
    </row>
    <row r="58" spans="1:2" x14ac:dyDescent="0.25">
      <c r="A58" s="8">
        <v>44104</v>
      </c>
      <c r="B58">
        <v>1.36</v>
      </c>
    </row>
    <row r="59" spans="1:2" x14ac:dyDescent="0.25">
      <c r="A59" s="8">
        <v>44134</v>
      </c>
      <c r="B59">
        <v>1.25</v>
      </c>
    </row>
    <row r="60" spans="1:2" x14ac:dyDescent="0.25">
      <c r="A60" s="8">
        <v>44165</v>
      </c>
      <c r="B60">
        <v>1.04</v>
      </c>
    </row>
    <row r="61" spans="1:2" x14ac:dyDescent="0.25">
      <c r="A61" s="8">
        <v>44196</v>
      </c>
      <c r="B61">
        <v>0.96</v>
      </c>
    </row>
    <row r="62" spans="1:2" x14ac:dyDescent="0.25">
      <c r="A62" s="8">
        <v>44225</v>
      </c>
      <c r="B62">
        <v>0.97</v>
      </c>
    </row>
    <row r="63" spans="1:2" x14ac:dyDescent="0.25">
      <c r="A63" s="8">
        <v>44253</v>
      </c>
      <c r="B63">
        <v>0.9</v>
      </c>
    </row>
    <row r="64" spans="1:2" x14ac:dyDescent="0.25">
      <c r="A64" s="8">
        <v>44286</v>
      </c>
      <c r="B64">
        <v>0.91</v>
      </c>
    </row>
    <row r="65" spans="1:2" x14ac:dyDescent="0.25">
      <c r="A65" s="8">
        <v>44316</v>
      </c>
      <c r="B65">
        <v>0.88</v>
      </c>
    </row>
    <row r="66" spans="1:2" x14ac:dyDescent="0.25">
      <c r="A66" s="8">
        <v>44347</v>
      </c>
      <c r="B66">
        <v>0.84</v>
      </c>
    </row>
    <row r="67" spans="1:2" x14ac:dyDescent="0.25">
      <c r="A67" s="8">
        <v>44377</v>
      </c>
      <c r="B67">
        <v>0.8</v>
      </c>
    </row>
    <row r="68" spans="1:2" x14ac:dyDescent="0.25">
      <c r="A68" s="8">
        <v>44407</v>
      </c>
      <c r="B68">
        <v>0.86</v>
      </c>
    </row>
    <row r="69" spans="1:2" x14ac:dyDescent="0.25">
      <c r="A69" s="8">
        <v>44439</v>
      </c>
      <c r="B69">
        <v>0.87</v>
      </c>
    </row>
    <row r="70" spans="1:2" x14ac:dyDescent="0.25">
      <c r="A70" s="8">
        <v>44469</v>
      </c>
      <c r="B70">
        <v>0.84</v>
      </c>
    </row>
    <row r="71" spans="1:2" x14ac:dyDescent="0.25">
      <c r="A71" s="8">
        <v>44498</v>
      </c>
      <c r="B71">
        <v>0.87</v>
      </c>
    </row>
    <row r="72" spans="1:2" x14ac:dyDescent="0.25">
      <c r="A72" s="8">
        <v>44530</v>
      </c>
      <c r="B72">
        <v>0.99</v>
      </c>
    </row>
    <row r="73" spans="1:2" x14ac:dyDescent="0.25">
      <c r="A73" s="8">
        <v>44561</v>
      </c>
      <c r="B73">
        <v>0.92</v>
      </c>
    </row>
    <row r="74" spans="1:2" x14ac:dyDescent="0.25">
      <c r="A74" s="8">
        <v>44592</v>
      </c>
      <c r="B74">
        <v>1.06</v>
      </c>
    </row>
    <row r="75" spans="1:2" x14ac:dyDescent="0.25">
      <c r="A75" s="8">
        <v>44620</v>
      </c>
      <c r="B75">
        <v>1.22</v>
      </c>
    </row>
    <row r="76" spans="1:2" x14ac:dyDescent="0.25">
      <c r="A76" s="8">
        <v>44651</v>
      </c>
      <c r="B76">
        <v>1.1599999999999999</v>
      </c>
    </row>
    <row r="77" spans="1:2" x14ac:dyDescent="0.25">
      <c r="A77" s="8">
        <v>44680</v>
      </c>
      <c r="B77">
        <v>1.35</v>
      </c>
    </row>
    <row r="78" spans="1:2" x14ac:dyDescent="0.25">
      <c r="A78" s="8">
        <v>44712</v>
      </c>
      <c r="B78">
        <v>1.3</v>
      </c>
    </row>
    <row r="79" spans="1:2" x14ac:dyDescent="0.25">
      <c r="A79" s="8">
        <v>44742</v>
      </c>
      <c r="B79">
        <v>1.55</v>
      </c>
    </row>
    <row r="80" spans="1:2" x14ac:dyDescent="0.25">
      <c r="A80" s="8">
        <v>44771</v>
      </c>
      <c r="B80">
        <v>1.44</v>
      </c>
    </row>
    <row r="81" spans="1:2" x14ac:dyDescent="0.25">
      <c r="A81" s="8">
        <v>44804</v>
      </c>
      <c r="B81">
        <v>1.4</v>
      </c>
    </row>
    <row r="82" spans="1:2" x14ac:dyDescent="0.25">
      <c r="A82" s="8">
        <v>44834</v>
      </c>
      <c r="B82">
        <v>1.59</v>
      </c>
    </row>
    <row r="83" spans="1:2" x14ac:dyDescent="0.25">
      <c r="A83" s="8">
        <v>44865</v>
      </c>
      <c r="B83">
        <v>1.58</v>
      </c>
    </row>
    <row r="84" spans="1:2" x14ac:dyDescent="0.25">
      <c r="A84" s="8">
        <v>44895</v>
      </c>
      <c r="B84">
        <v>1.33</v>
      </c>
    </row>
    <row r="85" spans="1:2" x14ac:dyDescent="0.25">
      <c r="A85" s="8">
        <v>44925</v>
      </c>
      <c r="B85">
        <v>1.3</v>
      </c>
    </row>
    <row r="86" spans="1:2" x14ac:dyDescent="0.25">
      <c r="A86" s="8">
        <v>44957</v>
      </c>
      <c r="B86">
        <v>1.17</v>
      </c>
    </row>
    <row r="87" spans="1:2" x14ac:dyDescent="0.25">
      <c r="A87" s="8">
        <v>44985</v>
      </c>
      <c r="B87">
        <v>1.24</v>
      </c>
    </row>
    <row r="88" spans="1:2" x14ac:dyDescent="0.25">
      <c r="A88" s="8">
        <v>45016</v>
      </c>
      <c r="B88">
        <v>1.38</v>
      </c>
    </row>
    <row r="89" spans="1:2" x14ac:dyDescent="0.25">
      <c r="A89" s="8">
        <v>45044</v>
      </c>
      <c r="B89">
        <v>1.36</v>
      </c>
    </row>
    <row r="90" spans="1:2" x14ac:dyDescent="0.25">
      <c r="A90" s="8">
        <v>45077</v>
      </c>
      <c r="B90">
        <v>1.38</v>
      </c>
    </row>
    <row r="91" spans="1:2" x14ac:dyDescent="0.25">
      <c r="A91" s="8">
        <v>45107</v>
      </c>
      <c r="B91">
        <v>1.23</v>
      </c>
    </row>
    <row r="92" spans="1:2" x14ac:dyDescent="0.25">
      <c r="A92" s="8">
        <v>45138</v>
      </c>
      <c r="B92">
        <v>1.1200000000000001</v>
      </c>
    </row>
    <row r="93" spans="1:2" x14ac:dyDescent="0.25">
      <c r="A93" s="8">
        <v>45169</v>
      </c>
      <c r="B93">
        <v>1.18</v>
      </c>
    </row>
    <row r="94" spans="1:2" x14ac:dyDescent="0.25">
      <c r="A94" s="8">
        <v>45198</v>
      </c>
      <c r="B94">
        <v>1.21</v>
      </c>
    </row>
    <row r="95" spans="1:2" x14ac:dyDescent="0.25">
      <c r="A95" s="8">
        <v>45230</v>
      </c>
      <c r="B95">
        <v>1.29</v>
      </c>
    </row>
    <row r="96" spans="1:2" x14ac:dyDescent="0.25">
      <c r="A96" s="8">
        <v>45260</v>
      </c>
      <c r="B96">
        <v>1.04</v>
      </c>
    </row>
    <row r="97" spans="1:2" x14ac:dyDescent="0.25">
      <c r="A97" s="8">
        <v>45289</v>
      </c>
      <c r="B97">
        <v>0.99</v>
      </c>
    </row>
    <row r="98" spans="1:2" x14ac:dyDescent="0.25">
      <c r="A98" s="8">
        <v>45322</v>
      </c>
      <c r="B98">
        <v>0.96</v>
      </c>
    </row>
    <row r="99" spans="1:2" x14ac:dyDescent="0.25">
      <c r="A99" s="8">
        <v>45351</v>
      </c>
      <c r="B99">
        <v>0.96</v>
      </c>
    </row>
    <row r="100" spans="1:2" x14ac:dyDescent="0.25">
      <c r="A100" s="8">
        <v>45380</v>
      </c>
      <c r="B100">
        <v>0.9</v>
      </c>
    </row>
    <row r="101" spans="1:2" x14ac:dyDescent="0.25">
      <c r="A101" s="8">
        <v>45412</v>
      </c>
      <c r="B101">
        <v>0.87</v>
      </c>
    </row>
    <row r="102" spans="1:2" x14ac:dyDescent="0.25">
      <c r="A102" s="8">
        <v>45443</v>
      </c>
      <c r="B102">
        <v>0.85</v>
      </c>
    </row>
    <row r="103" spans="1:2" x14ac:dyDescent="0.25">
      <c r="A103" s="8">
        <v>45471</v>
      </c>
      <c r="B103">
        <v>0.94</v>
      </c>
    </row>
    <row r="104" spans="1:2" x14ac:dyDescent="0.25">
      <c r="A104" s="8">
        <v>45504</v>
      </c>
      <c r="B104">
        <v>0.93</v>
      </c>
    </row>
    <row r="105" spans="1:2" x14ac:dyDescent="0.25">
      <c r="A105" s="8">
        <v>45534</v>
      </c>
      <c r="B105">
        <v>0.93</v>
      </c>
    </row>
    <row r="106" spans="1:2" x14ac:dyDescent="0.25">
      <c r="A106" s="8">
        <v>45565</v>
      </c>
      <c r="B106">
        <v>0.89</v>
      </c>
    </row>
    <row r="107" spans="1:2" x14ac:dyDescent="0.25">
      <c r="A107" s="8">
        <v>45596</v>
      </c>
      <c r="B107">
        <v>0.84</v>
      </c>
    </row>
    <row r="108" spans="1:2" x14ac:dyDescent="0.25">
      <c r="A108" s="8">
        <v>45625</v>
      </c>
      <c r="B108">
        <v>0.78</v>
      </c>
    </row>
    <row r="109" spans="1:2" x14ac:dyDescent="0.25">
      <c r="A109" s="8">
        <v>45657</v>
      </c>
      <c r="B109">
        <v>0.8</v>
      </c>
    </row>
    <row r="110" spans="1:2" x14ac:dyDescent="0.25">
      <c r="A110" s="8">
        <v>45688</v>
      </c>
      <c r="B110">
        <v>0.79</v>
      </c>
    </row>
    <row r="111" spans="1:2" x14ac:dyDescent="0.25">
      <c r="A111" s="8">
        <v>45716</v>
      </c>
      <c r="B111">
        <v>0.87</v>
      </c>
    </row>
    <row r="112" spans="1:2" x14ac:dyDescent="0.25">
      <c r="A112" s="8">
        <v>45747</v>
      </c>
      <c r="B112">
        <v>0.94</v>
      </c>
    </row>
    <row r="113" spans="1:2" x14ac:dyDescent="0.25">
      <c r="A113" s="8">
        <v>45777</v>
      </c>
      <c r="B113">
        <v>1.06</v>
      </c>
    </row>
    <row r="114" spans="1:2" x14ac:dyDescent="0.25">
      <c r="A114" s="8">
        <v>45807</v>
      </c>
      <c r="B114">
        <v>0.88</v>
      </c>
    </row>
    <row r="115" spans="1:2" x14ac:dyDescent="0.25">
      <c r="A115" s="8">
        <v>45838</v>
      </c>
      <c r="B115">
        <v>0.83</v>
      </c>
    </row>
    <row r="116" spans="1:2" x14ac:dyDescent="0.25">
      <c r="A116" s="8">
        <v>45869</v>
      </c>
      <c r="B116">
        <v>0.76</v>
      </c>
    </row>
    <row r="117" spans="1:2" x14ac:dyDescent="0.25">
      <c r="A117" s="8">
        <v>45898</v>
      </c>
      <c r="B117">
        <v>0.79</v>
      </c>
    </row>
    <row r="118" spans="1:2" x14ac:dyDescent="0.25">
      <c r="A118" s="8">
        <v>45930</v>
      </c>
      <c r="B118">
        <v>0.74</v>
      </c>
    </row>
    <row r="119" spans="1:2" x14ac:dyDescent="0.25">
      <c r="A119" s="8">
        <v>45961</v>
      </c>
      <c r="B119">
        <v>0.78</v>
      </c>
    </row>
    <row r="120" spans="1:2" x14ac:dyDescent="0.25">
      <c r="A120" s="8">
        <v>45989</v>
      </c>
      <c r="B120">
        <v>0.8</v>
      </c>
    </row>
    <row r="121" spans="1:2" x14ac:dyDescent="0.25">
      <c r="A121" s="8">
        <v>46022</v>
      </c>
      <c r="B121">
        <v>0.78</v>
      </c>
    </row>
    <row r="122" spans="1:2" x14ac:dyDescent="0.25">
      <c r="A122" s="8">
        <v>46052</v>
      </c>
      <c r="B122">
        <v>0.73</v>
      </c>
    </row>
    <row r="136" spans="1:4" x14ac:dyDescent="0.25">
      <c r="A136" s="6" t="s">
        <v>163</v>
      </c>
      <c r="B136" s="6" t="s">
        <v>164</v>
      </c>
      <c r="C136" s="6" t="s">
        <v>165</v>
      </c>
      <c r="D136" s="6" t="s">
        <v>54</v>
      </c>
    </row>
    <row r="137" spans="1:4" x14ac:dyDescent="0.25">
      <c r="A137" s="8">
        <f ca="1">_xll.BDH("LF98OAS Index","PX_LAST","02/01/2016",TODAY(),"Per=M","cols=2;rows=121")</f>
        <v>42398</v>
      </c>
      <c r="B137">
        <v>7.34</v>
      </c>
    </row>
    <row r="138" spans="1:4" x14ac:dyDescent="0.25">
      <c r="A138" s="8">
        <v>42429</v>
      </c>
      <c r="B138">
        <v>7.26</v>
      </c>
    </row>
    <row r="139" spans="1:4" x14ac:dyDescent="0.25">
      <c r="A139" s="8">
        <v>42460</v>
      </c>
      <c r="B139">
        <v>6.56</v>
      </c>
    </row>
    <row r="140" spans="1:4" x14ac:dyDescent="0.25">
      <c r="A140" s="8">
        <v>42489</v>
      </c>
      <c r="B140">
        <v>5.77</v>
      </c>
    </row>
    <row r="141" spans="1:4" x14ac:dyDescent="0.25">
      <c r="A141" s="8">
        <v>42521</v>
      </c>
      <c r="B141">
        <v>5.66</v>
      </c>
    </row>
    <row r="142" spans="1:4" x14ac:dyDescent="0.25">
      <c r="A142" s="8">
        <v>42551</v>
      </c>
      <c r="B142">
        <v>5.94</v>
      </c>
    </row>
    <row r="143" spans="1:4" x14ac:dyDescent="0.25">
      <c r="A143" s="8">
        <v>42580</v>
      </c>
      <c r="B143">
        <v>5.4</v>
      </c>
    </row>
    <row r="144" spans="1:4" x14ac:dyDescent="0.25">
      <c r="A144" s="8">
        <v>42613</v>
      </c>
      <c r="B144">
        <v>4.9000000000000004</v>
      </c>
    </row>
    <row r="145" spans="1:2" x14ac:dyDescent="0.25">
      <c r="A145" s="8">
        <v>42643</v>
      </c>
      <c r="B145">
        <v>4.8</v>
      </c>
    </row>
    <row r="146" spans="1:2" x14ac:dyDescent="0.25">
      <c r="A146" s="8">
        <v>42674</v>
      </c>
      <c r="B146">
        <v>4.7699999999999996</v>
      </c>
    </row>
    <row r="147" spans="1:2" x14ac:dyDescent="0.25">
      <c r="A147" s="8">
        <v>42704</v>
      </c>
      <c r="B147">
        <v>4.55</v>
      </c>
    </row>
    <row r="148" spans="1:2" x14ac:dyDescent="0.25">
      <c r="A148" s="8">
        <v>42734</v>
      </c>
      <c r="B148">
        <v>4.09</v>
      </c>
    </row>
    <row r="149" spans="1:2" x14ac:dyDescent="0.25">
      <c r="A149" s="8">
        <v>42766</v>
      </c>
      <c r="B149">
        <v>3.88</v>
      </c>
    </row>
    <row r="150" spans="1:2" x14ac:dyDescent="0.25">
      <c r="A150" s="8">
        <v>42794</v>
      </c>
      <c r="B150">
        <v>3.63</v>
      </c>
    </row>
    <row r="151" spans="1:2" x14ac:dyDescent="0.25">
      <c r="A151" s="8">
        <v>42825</v>
      </c>
      <c r="B151">
        <v>3.83</v>
      </c>
    </row>
    <row r="152" spans="1:2" x14ac:dyDescent="0.25">
      <c r="A152" s="8">
        <v>42853</v>
      </c>
      <c r="B152">
        <v>3.71</v>
      </c>
    </row>
    <row r="153" spans="1:2" x14ac:dyDescent="0.25">
      <c r="A153" s="8">
        <v>42886</v>
      </c>
      <c r="B153">
        <v>3.63</v>
      </c>
    </row>
    <row r="154" spans="1:2" x14ac:dyDescent="0.25">
      <c r="A154" s="8">
        <v>42916</v>
      </c>
      <c r="B154">
        <v>3.64</v>
      </c>
    </row>
    <row r="155" spans="1:2" x14ac:dyDescent="0.25">
      <c r="A155" s="8">
        <v>42947</v>
      </c>
      <c r="B155">
        <v>3.52</v>
      </c>
    </row>
    <row r="156" spans="1:2" x14ac:dyDescent="0.25">
      <c r="A156" s="8">
        <v>42978</v>
      </c>
      <c r="B156">
        <v>3.78</v>
      </c>
    </row>
    <row r="157" spans="1:2" x14ac:dyDescent="0.25">
      <c r="A157" s="8">
        <v>43007</v>
      </c>
      <c r="B157">
        <v>3.47</v>
      </c>
    </row>
    <row r="158" spans="1:2" x14ac:dyDescent="0.25">
      <c r="A158" s="8">
        <v>43039</v>
      </c>
      <c r="B158">
        <v>3.38</v>
      </c>
    </row>
    <row r="159" spans="1:2" x14ac:dyDescent="0.25">
      <c r="A159" s="8">
        <v>43069</v>
      </c>
      <c r="B159">
        <v>3.44</v>
      </c>
    </row>
    <row r="160" spans="1:2" x14ac:dyDescent="0.25">
      <c r="A160" s="8">
        <v>43098</v>
      </c>
      <c r="B160">
        <v>3.43</v>
      </c>
    </row>
    <row r="161" spans="1:2" x14ac:dyDescent="0.25">
      <c r="A161" s="8">
        <v>43131</v>
      </c>
      <c r="B161">
        <v>3.19</v>
      </c>
    </row>
    <row r="162" spans="1:2" x14ac:dyDescent="0.25">
      <c r="A162" s="8">
        <v>43159</v>
      </c>
      <c r="B162">
        <v>3.36</v>
      </c>
    </row>
    <row r="163" spans="1:2" x14ac:dyDescent="0.25">
      <c r="A163" s="8">
        <v>43189</v>
      </c>
      <c r="B163">
        <v>3.54</v>
      </c>
    </row>
    <row r="164" spans="1:2" x14ac:dyDescent="0.25">
      <c r="A164" s="8">
        <v>43220</v>
      </c>
      <c r="B164">
        <v>3.38</v>
      </c>
    </row>
    <row r="165" spans="1:2" x14ac:dyDescent="0.25">
      <c r="A165" s="8">
        <v>43251</v>
      </c>
      <c r="B165">
        <v>3.62</v>
      </c>
    </row>
    <row r="166" spans="1:2" x14ac:dyDescent="0.25">
      <c r="A166" s="8">
        <v>43280</v>
      </c>
      <c r="B166">
        <v>3.63</v>
      </c>
    </row>
    <row r="167" spans="1:2" x14ac:dyDescent="0.25">
      <c r="A167" s="8">
        <v>43312</v>
      </c>
      <c r="B167">
        <v>3.36</v>
      </c>
    </row>
    <row r="168" spans="1:2" x14ac:dyDescent="0.25">
      <c r="A168" s="8">
        <v>43343</v>
      </c>
      <c r="B168">
        <v>3.38</v>
      </c>
    </row>
    <row r="169" spans="1:2" x14ac:dyDescent="0.25">
      <c r="A169" s="8">
        <v>43371</v>
      </c>
      <c r="B169">
        <v>3.16</v>
      </c>
    </row>
    <row r="170" spans="1:2" x14ac:dyDescent="0.25">
      <c r="A170" s="8">
        <v>43404</v>
      </c>
      <c r="B170">
        <v>3.71</v>
      </c>
    </row>
    <row r="171" spans="1:2" x14ac:dyDescent="0.25">
      <c r="A171" s="8">
        <v>43434</v>
      </c>
      <c r="B171">
        <v>4.18</v>
      </c>
    </row>
    <row r="172" spans="1:2" x14ac:dyDescent="0.25">
      <c r="A172" s="8">
        <v>43465</v>
      </c>
      <c r="B172">
        <v>5.26</v>
      </c>
    </row>
    <row r="173" spans="1:2" x14ac:dyDescent="0.25">
      <c r="A173" s="8">
        <v>43496</v>
      </c>
      <c r="B173">
        <v>4.2300000000000004</v>
      </c>
    </row>
    <row r="174" spans="1:2" x14ac:dyDescent="0.25">
      <c r="A174" s="8">
        <v>43524</v>
      </c>
      <c r="B174">
        <v>3.79</v>
      </c>
    </row>
    <row r="175" spans="1:2" x14ac:dyDescent="0.25">
      <c r="A175" s="8">
        <v>43553</v>
      </c>
      <c r="B175">
        <v>3.91</v>
      </c>
    </row>
    <row r="176" spans="1:2" x14ac:dyDescent="0.25">
      <c r="A176" s="8">
        <v>43585</v>
      </c>
      <c r="B176">
        <v>3.58</v>
      </c>
    </row>
    <row r="177" spans="1:2" x14ac:dyDescent="0.25">
      <c r="A177" s="8">
        <v>43616</v>
      </c>
      <c r="B177">
        <v>4.33</v>
      </c>
    </row>
    <row r="178" spans="1:2" x14ac:dyDescent="0.25">
      <c r="A178" s="8">
        <v>43644</v>
      </c>
      <c r="B178">
        <v>3.77</v>
      </c>
    </row>
    <row r="179" spans="1:2" x14ac:dyDescent="0.25">
      <c r="A179" s="8">
        <v>43677</v>
      </c>
      <c r="B179">
        <v>3.71</v>
      </c>
    </row>
    <row r="180" spans="1:2" x14ac:dyDescent="0.25">
      <c r="A180" s="8">
        <v>43707</v>
      </c>
      <c r="B180">
        <v>3.93</v>
      </c>
    </row>
    <row r="181" spans="1:2" x14ac:dyDescent="0.25">
      <c r="A181" s="8">
        <v>43738</v>
      </c>
      <c r="B181">
        <v>3.73</v>
      </c>
    </row>
    <row r="182" spans="1:2" x14ac:dyDescent="0.25">
      <c r="A182" s="8">
        <v>43769</v>
      </c>
      <c r="B182">
        <v>3.92</v>
      </c>
    </row>
    <row r="183" spans="1:2" x14ac:dyDescent="0.25">
      <c r="A183" s="8">
        <v>43798</v>
      </c>
      <c r="B183">
        <v>3.7</v>
      </c>
    </row>
    <row r="184" spans="1:2" x14ac:dyDescent="0.25">
      <c r="A184" s="8">
        <v>43830</v>
      </c>
      <c r="B184">
        <v>3.36</v>
      </c>
    </row>
    <row r="185" spans="1:2" x14ac:dyDescent="0.25">
      <c r="A185" s="8">
        <v>43861</v>
      </c>
      <c r="B185">
        <v>3.9</v>
      </c>
    </row>
    <row r="186" spans="1:2" x14ac:dyDescent="0.25">
      <c r="A186" s="8">
        <v>43889</v>
      </c>
      <c r="B186">
        <v>5</v>
      </c>
    </row>
    <row r="187" spans="1:2" x14ac:dyDescent="0.25">
      <c r="A187" s="8">
        <v>43921</v>
      </c>
      <c r="B187">
        <v>8.8000000000000007</v>
      </c>
    </row>
    <row r="188" spans="1:2" x14ac:dyDescent="0.25">
      <c r="A188" s="8">
        <v>43951</v>
      </c>
      <c r="B188">
        <v>7.44</v>
      </c>
    </row>
    <row r="189" spans="1:2" x14ac:dyDescent="0.25">
      <c r="A189" s="8">
        <v>43980</v>
      </c>
      <c r="B189">
        <v>6.37</v>
      </c>
    </row>
    <row r="190" spans="1:2" x14ac:dyDescent="0.25">
      <c r="A190" s="8">
        <v>44012</v>
      </c>
      <c r="B190">
        <v>6.26</v>
      </c>
    </row>
    <row r="191" spans="1:2" x14ac:dyDescent="0.25">
      <c r="A191" s="8">
        <v>44043</v>
      </c>
      <c r="B191">
        <v>4.88</v>
      </c>
    </row>
    <row r="192" spans="1:2" x14ac:dyDescent="0.25">
      <c r="A192" s="8">
        <v>44074</v>
      </c>
      <c r="B192">
        <v>4.7699999999999996</v>
      </c>
    </row>
    <row r="193" spans="1:2" x14ac:dyDescent="0.25">
      <c r="A193" s="8">
        <v>44104</v>
      </c>
      <c r="B193">
        <v>5.17</v>
      </c>
    </row>
    <row r="194" spans="1:2" x14ac:dyDescent="0.25">
      <c r="A194" s="8">
        <v>44134</v>
      </c>
      <c r="B194">
        <v>5.09</v>
      </c>
    </row>
    <row r="195" spans="1:2" x14ac:dyDescent="0.25">
      <c r="A195" s="8">
        <v>44165</v>
      </c>
      <c r="B195">
        <v>4.12</v>
      </c>
    </row>
    <row r="196" spans="1:2" x14ac:dyDescent="0.25">
      <c r="A196" s="8">
        <v>44196</v>
      </c>
      <c r="B196">
        <v>3.6</v>
      </c>
    </row>
    <row r="197" spans="1:2" x14ac:dyDescent="0.25">
      <c r="A197" s="8">
        <v>44225</v>
      </c>
      <c r="B197">
        <v>3.62</v>
      </c>
    </row>
    <row r="198" spans="1:2" x14ac:dyDescent="0.25">
      <c r="A198" s="8">
        <v>44253</v>
      </c>
      <c r="B198">
        <v>3.26</v>
      </c>
    </row>
    <row r="199" spans="1:2" x14ac:dyDescent="0.25">
      <c r="A199" s="8">
        <v>44286</v>
      </c>
      <c r="B199">
        <v>3.1</v>
      </c>
    </row>
    <row r="200" spans="1:2" x14ac:dyDescent="0.25">
      <c r="A200" s="8">
        <v>44316</v>
      </c>
      <c r="B200">
        <v>2.91</v>
      </c>
    </row>
    <row r="201" spans="1:2" x14ac:dyDescent="0.25">
      <c r="A201" s="8">
        <v>44347</v>
      </c>
      <c r="B201">
        <v>2.96</v>
      </c>
    </row>
    <row r="202" spans="1:2" x14ac:dyDescent="0.25">
      <c r="A202" s="8">
        <v>44377</v>
      </c>
      <c r="B202">
        <v>2.68</v>
      </c>
    </row>
    <row r="203" spans="1:2" x14ac:dyDescent="0.25">
      <c r="A203" s="8">
        <v>44407</v>
      </c>
      <c r="B203">
        <v>2.94</v>
      </c>
    </row>
    <row r="204" spans="1:2" x14ac:dyDescent="0.25">
      <c r="A204" s="8">
        <v>44439</v>
      </c>
      <c r="B204">
        <v>2.88</v>
      </c>
    </row>
    <row r="205" spans="1:2" x14ac:dyDescent="0.25">
      <c r="A205" s="8">
        <v>44469</v>
      </c>
      <c r="B205">
        <v>2.89</v>
      </c>
    </row>
    <row r="206" spans="1:2" x14ac:dyDescent="0.25">
      <c r="A206" s="8">
        <v>44498</v>
      </c>
      <c r="B206">
        <v>2.87</v>
      </c>
    </row>
    <row r="207" spans="1:2" x14ac:dyDescent="0.25">
      <c r="A207" s="8">
        <v>44530</v>
      </c>
      <c r="B207">
        <v>3.37</v>
      </c>
    </row>
    <row r="208" spans="1:2" x14ac:dyDescent="0.25">
      <c r="A208" s="8">
        <v>44561</v>
      </c>
      <c r="B208">
        <v>2.83</v>
      </c>
    </row>
    <row r="209" spans="1:2" x14ac:dyDescent="0.25">
      <c r="A209" s="8">
        <v>44592</v>
      </c>
      <c r="B209">
        <v>3.42</v>
      </c>
    </row>
    <row r="210" spans="1:2" x14ac:dyDescent="0.25">
      <c r="A210" s="8">
        <v>44620</v>
      </c>
      <c r="B210">
        <v>3.59</v>
      </c>
    </row>
    <row r="211" spans="1:2" x14ac:dyDescent="0.25">
      <c r="A211" s="8">
        <v>44651</v>
      </c>
      <c r="B211">
        <v>3.25</v>
      </c>
    </row>
    <row r="212" spans="1:2" x14ac:dyDescent="0.25">
      <c r="A212" s="8">
        <v>44680</v>
      </c>
      <c r="B212">
        <v>3.79</v>
      </c>
    </row>
    <row r="213" spans="1:2" x14ac:dyDescent="0.25">
      <c r="A213" s="8">
        <v>44712</v>
      </c>
      <c r="B213">
        <v>4.0599999999999996</v>
      </c>
    </row>
    <row r="214" spans="1:2" x14ac:dyDescent="0.25">
      <c r="A214" s="8">
        <v>44742</v>
      </c>
      <c r="B214">
        <v>5.69</v>
      </c>
    </row>
    <row r="215" spans="1:2" x14ac:dyDescent="0.25">
      <c r="A215" s="8">
        <v>44771</v>
      </c>
      <c r="B215">
        <v>4.6900000000000004</v>
      </c>
    </row>
    <row r="216" spans="1:2" x14ac:dyDescent="0.25">
      <c r="A216" s="8">
        <v>44804</v>
      </c>
      <c r="B216">
        <v>4.84</v>
      </c>
    </row>
    <row r="217" spans="1:2" x14ac:dyDescent="0.25">
      <c r="A217" s="8">
        <v>44834</v>
      </c>
      <c r="B217">
        <v>5.52</v>
      </c>
    </row>
    <row r="218" spans="1:2" x14ac:dyDescent="0.25">
      <c r="A218" s="8">
        <v>44865</v>
      </c>
      <c r="B218">
        <v>4.6399999999999997</v>
      </c>
    </row>
    <row r="219" spans="1:2" x14ac:dyDescent="0.25">
      <c r="A219" s="8">
        <v>44895</v>
      </c>
      <c r="B219">
        <v>4.4800000000000004</v>
      </c>
    </row>
    <row r="220" spans="1:2" x14ac:dyDescent="0.25">
      <c r="A220" s="8">
        <v>44925</v>
      </c>
      <c r="B220">
        <v>4.6900000000000004</v>
      </c>
    </row>
    <row r="221" spans="1:2" x14ac:dyDescent="0.25">
      <c r="A221" s="8">
        <v>44957</v>
      </c>
      <c r="B221">
        <v>4.2</v>
      </c>
    </row>
    <row r="222" spans="1:2" x14ac:dyDescent="0.25">
      <c r="A222" s="8">
        <v>44985</v>
      </c>
      <c r="B222">
        <v>4.12</v>
      </c>
    </row>
    <row r="223" spans="1:2" x14ac:dyDescent="0.25">
      <c r="A223" s="8">
        <v>45016</v>
      </c>
      <c r="B223">
        <v>4.55</v>
      </c>
    </row>
    <row r="224" spans="1:2" x14ac:dyDescent="0.25">
      <c r="A224" s="8">
        <v>45044</v>
      </c>
      <c r="B224">
        <v>4.5199999999999996</v>
      </c>
    </row>
    <row r="225" spans="1:2" x14ac:dyDescent="0.25">
      <c r="A225" s="8">
        <v>45077</v>
      </c>
      <c r="B225">
        <v>4.59</v>
      </c>
    </row>
    <row r="226" spans="1:2" x14ac:dyDescent="0.25">
      <c r="A226" s="8">
        <v>45107</v>
      </c>
      <c r="B226">
        <v>3.9</v>
      </c>
    </row>
    <row r="227" spans="1:2" x14ac:dyDescent="0.25">
      <c r="A227" s="8">
        <v>45138</v>
      </c>
      <c r="B227">
        <v>3.67</v>
      </c>
    </row>
    <row r="228" spans="1:2" x14ac:dyDescent="0.25">
      <c r="A228" s="8">
        <v>45169</v>
      </c>
      <c r="B228">
        <v>3.72</v>
      </c>
    </row>
    <row r="229" spans="1:2" x14ac:dyDescent="0.25">
      <c r="A229" s="8">
        <v>45198</v>
      </c>
      <c r="B229">
        <v>3.94</v>
      </c>
    </row>
    <row r="230" spans="1:2" x14ac:dyDescent="0.25">
      <c r="A230" s="8">
        <v>45230</v>
      </c>
      <c r="B230">
        <v>4.37</v>
      </c>
    </row>
    <row r="231" spans="1:2" x14ac:dyDescent="0.25">
      <c r="A231" s="8">
        <v>45260</v>
      </c>
      <c r="B231">
        <v>3.7</v>
      </c>
    </row>
    <row r="232" spans="1:2" x14ac:dyDescent="0.25">
      <c r="A232" s="8">
        <v>45289</v>
      </c>
      <c r="B232">
        <v>3.23</v>
      </c>
    </row>
    <row r="233" spans="1:2" x14ac:dyDescent="0.25">
      <c r="A233" s="8">
        <v>45322</v>
      </c>
      <c r="B233">
        <v>3.44</v>
      </c>
    </row>
    <row r="234" spans="1:2" x14ac:dyDescent="0.25">
      <c r="A234" s="8">
        <v>45351</v>
      </c>
      <c r="B234">
        <v>3.12</v>
      </c>
    </row>
    <row r="235" spans="1:2" x14ac:dyDescent="0.25">
      <c r="A235" s="8">
        <v>45380</v>
      </c>
      <c r="B235">
        <v>2.99</v>
      </c>
    </row>
    <row r="236" spans="1:2" x14ac:dyDescent="0.25">
      <c r="A236" s="8">
        <v>45412</v>
      </c>
      <c r="B236">
        <v>3.01</v>
      </c>
    </row>
    <row r="237" spans="1:2" x14ac:dyDescent="0.25">
      <c r="A237" s="8">
        <v>45443</v>
      </c>
      <c r="B237">
        <v>3.08</v>
      </c>
    </row>
    <row r="238" spans="1:2" x14ac:dyDescent="0.25">
      <c r="A238" s="8">
        <v>45471</v>
      </c>
      <c r="B238">
        <v>3.09</v>
      </c>
    </row>
    <row r="239" spans="1:2" x14ac:dyDescent="0.25">
      <c r="A239" s="8">
        <v>45504</v>
      </c>
      <c r="B239">
        <v>3.14</v>
      </c>
    </row>
    <row r="240" spans="1:2" x14ac:dyDescent="0.25">
      <c r="A240" s="8">
        <v>45534</v>
      </c>
      <c r="B240">
        <v>3.05</v>
      </c>
    </row>
    <row r="241" spans="1:2" x14ac:dyDescent="0.25">
      <c r="A241" s="8">
        <v>45565</v>
      </c>
      <c r="B241">
        <v>2.95</v>
      </c>
    </row>
    <row r="242" spans="1:2" x14ac:dyDescent="0.25">
      <c r="A242" s="8">
        <v>45596</v>
      </c>
      <c r="B242">
        <v>2.82</v>
      </c>
    </row>
    <row r="243" spans="1:2" x14ac:dyDescent="0.25">
      <c r="A243" s="8">
        <v>45625</v>
      </c>
      <c r="B243">
        <v>2.66</v>
      </c>
    </row>
    <row r="244" spans="1:2" x14ac:dyDescent="0.25">
      <c r="A244" s="8">
        <v>45657</v>
      </c>
      <c r="B244">
        <v>2.87</v>
      </c>
    </row>
    <row r="245" spans="1:2" x14ac:dyDescent="0.25">
      <c r="A245" s="8">
        <v>45688</v>
      </c>
      <c r="B245">
        <v>2.61</v>
      </c>
    </row>
    <row r="246" spans="1:2" x14ac:dyDescent="0.25">
      <c r="A246" s="8">
        <v>45716</v>
      </c>
      <c r="B246">
        <v>2.8</v>
      </c>
    </row>
    <row r="247" spans="1:2" x14ac:dyDescent="0.25">
      <c r="A247" s="8">
        <v>45747</v>
      </c>
      <c r="B247">
        <v>3.47</v>
      </c>
    </row>
    <row r="248" spans="1:2" x14ac:dyDescent="0.25">
      <c r="A248" s="8">
        <v>45777</v>
      </c>
      <c r="B248">
        <v>3.84</v>
      </c>
    </row>
    <row r="249" spans="1:2" x14ac:dyDescent="0.25">
      <c r="A249" s="8">
        <v>45807</v>
      </c>
      <c r="B249">
        <v>3.14</v>
      </c>
    </row>
    <row r="250" spans="1:2" x14ac:dyDescent="0.25">
      <c r="A250" s="8">
        <v>45838</v>
      </c>
      <c r="B250">
        <v>2.9</v>
      </c>
    </row>
    <row r="251" spans="1:2" x14ac:dyDescent="0.25">
      <c r="A251" s="8">
        <v>45869</v>
      </c>
      <c r="B251">
        <v>2.78</v>
      </c>
    </row>
    <row r="252" spans="1:2" x14ac:dyDescent="0.25">
      <c r="A252" s="8">
        <v>45898</v>
      </c>
      <c r="B252">
        <v>2.72</v>
      </c>
    </row>
    <row r="253" spans="1:2" x14ac:dyDescent="0.25">
      <c r="A253" s="8">
        <v>45930</v>
      </c>
      <c r="B253">
        <v>2.67</v>
      </c>
    </row>
    <row r="254" spans="1:2" x14ac:dyDescent="0.25">
      <c r="A254" s="8">
        <v>45961</v>
      </c>
      <c r="B254">
        <v>2.81</v>
      </c>
    </row>
    <row r="255" spans="1:2" x14ac:dyDescent="0.25">
      <c r="A255" s="8">
        <v>45989</v>
      </c>
      <c r="B255">
        <v>2.69</v>
      </c>
    </row>
    <row r="256" spans="1:2" x14ac:dyDescent="0.25">
      <c r="A256" s="8">
        <v>46022</v>
      </c>
      <c r="B256">
        <v>2.66</v>
      </c>
    </row>
    <row r="257" spans="1:4" x14ac:dyDescent="0.25">
      <c r="A257" s="8">
        <v>46052</v>
      </c>
      <c r="B257">
        <v>2.65</v>
      </c>
    </row>
    <row r="271" spans="1:4" x14ac:dyDescent="0.25">
      <c r="A271" s="6" t="s">
        <v>166</v>
      </c>
      <c r="B271" s="6" t="s">
        <v>167</v>
      </c>
      <c r="C271" s="6" t="s">
        <v>168</v>
      </c>
      <c r="D271" s="6" t="s">
        <v>54</v>
      </c>
    </row>
    <row r="272" spans="1:4" x14ac:dyDescent="0.25">
      <c r="A272" t="str">
        <f ca="1">_xll.BDH("LUACBBB Index","PX_LAST","02/01/2016",TODAY(),"Per=M")</f>
        <v>#N/A Invalid Security</v>
      </c>
    </row>
    <row r="406" spans="1:4" x14ac:dyDescent="0.25">
      <c r="A406" s="6" t="s">
        <v>169</v>
      </c>
      <c r="B406" s="6" t="s">
        <v>170</v>
      </c>
      <c r="C406" s="6" t="s">
        <v>171</v>
      </c>
      <c r="D406" s="6" t="s">
        <v>54</v>
      </c>
    </row>
    <row r="407" spans="1:4" x14ac:dyDescent="0.25">
      <c r="A407" t="str">
        <f ca="1">_xll.BDH("LF98BB Index","PX_LAST","02/01/2016",TODAY(),"Per=M")</f>
        <v>#N/A Invalid Security</v>
      </c>
    </row>
    <row r="541" spans="1:4" x14ac:dyDescent="0.25">
      <c r="A541" s="6" t="s">
        <v>172</v>
      </c>
      <c r="B541" s="6" t="s">
        <v>173</v>
      </c>
      <c r="C541" s="6" t="s">
        <v>174</v>
      </c>
      <c r="D541" s="6" t="s">
        <v>54</v>
      </c>
    </row>
    <row r="542" spans="1:4" x14ac:dyDescent="0.25">
      <c r="A542" t="str">
        <f ca="1">_xll.BDH("LUACFN Index","PX_LAST","02/01/2016",TODAY(),"Per=M")</f>
        <v>#N/A Invalid Security</v>
      </c>
    </row>
    <row r="676" spans="1:4" x14ac:dyDescent="0.25">
      <c r="A676" s="6" t="s">
        <v>175</v>
      </c>
      <c r="B676" s="6" t="s">
        <v>176</v>
      </c>
      <c r="C676" s="6" t="s">
        <v>177</v>
      </c>
      <c r="D676" s="6" t="s">
        <v>54</v>
      </c>
    </row>
    <row r="677" spans="1:4" x14ac:dyDescent="0.25">
      <c r="A677" t="str">
        <f ca="1">_xll.BDH("LUACIN Index","PX_LAST","02/01/2016",TODAY(),"Per=M")</f>
        <v>#N/A Invalid Security</v>
      </c>
    </row>
    <row r="811" spans="1:4" x14ac:dyDescent="0.25">
      <c r="A811" s="6" t="s">
        <v>178</v>
      </c>
      <c r="B811" s="6" t="s">
        <v>179</v>
      </c>
      <c r="C811" s="6" t="s">
        <v>180</v>
      </c>
      <c r="D811" s="6" t="s">
        <v>54</v>
      </c>
    </row>
    <row r="812" spans="1:4" x14ac:dyDescent="0.25">
      <c r="A812" t="str">
        <f ca="1">_xll.BDH("LUACUT Index","PX_LAST","02/01/2016",TODAY(),"Per=M")</f>
        <v>#N/A Invalid Security</v>
      </c>
    </row>
    <row r="946" spans="1:4" x14ac:dyDescent="0.25">
      <c r="A946" s="6" t="s">
        <v>181</v>
      </c>
      <c r="B946" s="6" t="s">
        <v>182</v>
      </c>
      <c r="C946" s="6" t="s">
        <v>183</v>
      </c>
      <c r="D946" s="6" t="s">
        <v>54</v>
      </c>
    </row>
    <row r="947" spans="1:4" x14ac:dyDescent="0.25">
      <c r="A947" t="str">
        <f ca="1">_xll.BDH("LUACTC Index","PX_LAST","02/01/2016",TODAY(),"Per=M")</f>
        <v>#N/A Invalid Security</v>
      </c>
    </row>
    <row r="1081" spans="1:4" x14ac:dyDescent="0.25">
      <c r="A1081" s="6" t="s">
        <v>184</v>
      </c>
      <c r="B1081" s="6" t="s">
        <v>185</v>
      </c>
      <c r="C1081" s="6" t="s">
        <v>186</v>
      </c>
      <c r="D1081" s="6" t="s">
        <v>54</v>
      </c>
    </row>
    <row r="1082" spans="1:4" x14ac:dyDescent="0.25">
      <c r="A1082" t="str">
        <f ca="1">_xll.BDH("LUACHC Index","PX_LAST","02/01/2016",TODAY(),"Per=M")</f>
        <v>#N/A Invalid Security</v>
      </c>
    </row>
    <row r="1216" spans="1:4" x14ac:dyDescent="0.25">
      <c r="A1216" s="6" t="s">
        <v>187</v>
      </c>
      <c r="B1216" s="6" t="s">
        <v>188</v>
      </c>
      <c r="C1216" s="6" t="s">
        <v>189</v>
      </c>
      <c r="D1216" s="6" t="s">
        <v>54</v>
      </c>
    </row>
    <row r="1217" spans="1:1" x14ac:dyDescent="0.25">
      <c r="A1217" t="str">
        <f ca="1">_xll.BDH("LUACEN Index","PX_LAST","02/01/2016",TODAY(),"Per=M")</f>
        <v>#N/A Invalid Security</v>
      </c>
    </row>
    <row r="1351" spans="1:4" x14ac:dyDescent="0.25">
      <c r="A1351" s="6" t="s">
        <v>190</v>
      </c>
      <c r="B1351" s="6" t="s">
        <v>191</v>
      </c>
      <c r="C1351" s="6" t="s">
        <v>192</v>
      </c>
      <c r="D1351" s="6" t="s">
        <v>54</v>
      </c>
    </row>
    <row r="1352" spans="1:4" x14ac:dyDescent="0.25">
      <c r="A1352" t="str">
        <f ca="1">_xll.BDH("LUACCS Index","PX_LAST","02/01/2016",TODAY(),"Per=M")</f>
        <v>#N/A Invalid Security</v>
      </c>
    </row>
    <row r="1486" spans="1:4" x14ac:dyDescent="0.25">
      <c r="A1486" s="6" t="s">
        <v>193</v>
      </c>
      <c r="B1486" s="6" t="s">
        <v>194</v>
      </c>
      <c r="C1486" s="6" t="s">
        <v>195</v>
      </c>
      <c r="D1486" s="6" t="s">
        <v>54</v>
      </c>
    </row>
    <row r="1487" spans="1:4" x14ac:dyDescent="0.25">
      <c r="A1487" t="str">
        <f ca="1">_xll.BDH("LUACTM Index","PX_LAST","02/01/2016",TODAY(),"Per=M")</f>
        <v>#N/A Invalid Security</v>
      </c>
    </row>
    <row r="1621" spans="1:4" x14ac:dyDescent="0.25">
      <c r="A1621" s="6" t="s">
        <v>196</v>
      </c>
      <c r="B1621" s="6" t="s">
        <v>197</v>
      </c>
      <c r="C1621" s="6" t="s">
        <v>198</v>
      </c>
      <c r="D1621" s="6" t="s">
        <v>54</v>
      </c>
    </row>
    <row r="1622" spans="1:4" x14ac:dyDescent="0.25">
      <c r="A1622" t="str">
        <f ca="1">_xll.BDH("ER00OAS Index","PX_LAST","02/01/2016",TODAY(),"Per=M")</f>
        <v>#N/A Invalid Security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44210"/>
  </sheetPr>
  <dimension ref="A1:D947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199</v>
      </c>
      <c r="B1" s="6" t="s">
        <v>200</v>
      </c>
      <c r="C1" s="6" t="s">
        <v>201</v>
      </c>
      <c r="D1" s="6" t="s">
        <v>54</v>
      </c>
    </row>
    <row r="2" spans="1:4" x14ac:dyDescent="0.25">
      <c r="A2" t="str">
        <f ca="1">_xll.BDH("JPEMCOMP Index","PX_LAST","02/01/2016",TODAY(),"Per=M")</f>
        <v>#N/A Invalid Security</v>
      </c>
    </row>
    <row r="136" spans="1:4" x14ac:dyDescent="0.25">
      <c r="A136" s="6" t="s">
        <v>202</v>
      </c>
      <c r="B136" s="6" t="s">
        <v>203</v>
      </c>
      <c r="C136" s="6" t="s">
        <v>204</v>
      </c>
      <c r="D136" s="6" t="s">
        <v>54</v>
      </c>
    </row>
    <row r="137" spans="1:4" x14ac:dyDescent="0.25">
      <c r="A137" t="str">
        <f ca="1">_xll.BDH("JPEBBR Index","PX_LAST","02/01/2016",TODAY(),"Per=M")</f>
        <v>#N/A Invalid Security</v>
      </c>
    </row>
    <row r="271" spans="1:4" x14ac:dyDescent="0.25">
      <c r="A271" s="6" t="s">
        <v>205</v>
      </c>
      <c r="B271" s="6" t="s">
        <v>206</v>
      </c>
      <c r="C271" s="6" t="s">
        <v>207</v>
      </c>
      <c r="D271" s="6" t="s">
        <v>54</v>
      </c>
    </row>
    <row r="272" spans="1:4" x14ac:dyDescent="0.25">
      <c r="A272" t="str">
        <f ca="1">_xll.BDH("JPEBMX Index","PX_LAST","02/01/2016",TODAY(),"Per=M")</f>
        <v>#N/A Invalid Security</v>
      </c>
    </row>
    <row r="406" spans="1:4" x14ac:dyDescent="0.25">
      <c r="A406" s="6" t="s">
        <v>208</v>
      </c>
      <c r="B406" s="6" t="s">
        <v>209</v>
      </c>
      <c r="C406" s="6" t="s">
        <v>210</v>
      </c>
      <c r="D406" s="6" t="s">
        <v>54</v>
      </c>
    </row>
    <row r="407" spans="1:4" x14ac:dyDescent="0.25">
      <c r="A407" t="str">
        <f ca="1">_xll.BDH("JPEBCO Index","PX_LAST","02/01/2016",TODAY(),"Per=M")</f>
        <v>#N/A Invalid Security</v>
      </c>
    </row>
    <row r="541" spans="1:4" x14ac:dyDescent="0.25">
      <c r="A541" s="6" t="s">
        <v>211</v>
      </c>
      <c r="B541" s="6" t="s">
        <v>212</v>
      </c>
      <c r="C541" s="6" t="s">
        <v>213</v>
      </c>
      <c r="D541" s="6" t="s">
        <v>54</v>
      </c>
    </row>
    <row r="542" spans="1:4" x14ac:dyDescent="0.25">
      <c r="A542" t="str">
        <f ca="1">_xll.BDH("JPEBCL Index","PX_LAST","02/01/2016",TODAY(),"Per=M")</f>
        <v>#N/A Invalid Security</v>
      </c>
    </row>
    <row r="676" spans="1:4" x14ac:dyDescent="0.25">
      <c r="A676" s="6" t="s">
        <v>214</v>
      </c>
      <c r="B676" s="6" t="s">
        <v>215</v>
      </c>
      <c r="C676" s="6" t="s">
        <v>216</v>
      </c>
      <c r="D676" s="6" t="s">
        <v>54</v>
      </c>
    </row>
    <row r="677" spans="1:4" x14ac:dyDescent="0.25">
      <c r="A677" t="str">
        <f ca="1">_xll.BDH("JCMBCOMP Index","PX_LAST","02/01/2016",TODAY(),"Per=M")</f>
        <v>#N/A Invalid Security</v>
      </c>
    </row>
    <row r="811" spans="1:4" x14ac:dyDescent="0.25">
      <c r="A811" s="6" t="s">
        <v>217</v>
      </c>
      <c r="B811" s="6" t="s">
        <v>218</v>
      </c>
      <c r="C811" s="6" t="s">
        <v>219</v>
      </c>
      <c r="D811" s="6" t="s">
        <v>54</v>
      </c>
    </row>
    <row r="812" spans="1:4" x14ac:dyDescent="0.25">
      <c r="A812" t="str">
        <f ca="1">_xll.BDH("JPEIASIA Index","PX_LAST","02/01/2016",TODAY(),"Per=M")</f>
        <v>#N/A Invalid Security</v>
      </c>
    </row>
    <row r="946" spans="1:4" x14ac:dyDescent="0.25">
      <c r="A946" s="6" t="s">
        <v>220</v>
      </c>
      <c r="B946" s="6" t="s">
        <v>221</v>
      </c>
      <c r="C946" s="6" t="s">
        <v>222</v>
      </c>
      <c r="D946" s="6" t="s">
        <v>54</v>
      </c>
    </row>
    <row r="947" spans="1:4" x14ac:dyDescent="0.25">
      <c r="A947" t="str">
        <f ca="1">_xll.BDH("JPEEMEA Index","PX_LAST","02/01/2016",TODAY(),"Per=M")</f>
        <v>#N/A Invalid Security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D6B20"/>
  </sheetPr>
  <dimension ref="A1:D1067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223</v>
      </c>
      <c r="B1" s="6" t="s">
        <v>224</v>
      </c>
      <c r="C1" s="6" t="s">
        <v>225</v>
      </c>
      <c r="D1" s="6" t="s">
        <v>54</v>
      </c>
    </row>
    <row r="2" spans="1:4" x14ac:dyDescent="0.25">
      <c r="A2" s="8">
        <f ca="1">_xll.BDH("H15T5Y Index","PX_LAST","02/01/2016",TODAY(),"Per=M","cols=2;rows=121")</f>
        <v>42400</v>
      </c>
      <c r="B2">
        <v>1.52</v>
      </c>
    </row>
    <row r="3" spans="1:4" x14ac:dyDescent="0.25">
      <c r="A3" s="8">
        <v>42429</v>
      </c>
      <c r="B3">
        <v>1.22</v>
      </c>
    </row>
    <row r="4" spans="1:4" x14ac:dyDescent="0.25">
      <c r="A4" s="8">
        <v>42460</v>
      </c>
      <c r="B4">
        <v>1.38</v>
      </c>
    </row>
    <row r="5" spans="1:4" x14ac:dyDescent="0.25">
      <c r="A5" s="8">
        <v>42490</v>
      </c>
      <c r="B5">
        <v>1.26</v>
      </c>
    </row>
    <row r="6" spans="1:4" x14ac:dyDescent="0.25">
      <c r="A6" s="8">
        <v>42521</v>
      </c>
      <c r="B6">
        <v>1.3</v>
      </c>
    </row>
    <row r="7" spans="1:4" x14ac:dyDescent="0.25">
      <c r="A7" s="8">
        <v>42551</v>
      </c>
      <c r="B7">
        <v>1.17</v>
      </c>
    </row>
    <row r="8" spans="1:4" x14ac:dyDescent="0.25">
      <c r="A8" s="8">
        <v>42582</v>
      </c>
      <c r="B8">
        <v>1.07</v>
      </c>
    </row>
    <row r="9" spans="1:4" x14ac:dyDescent="0.25">
      <c r="A9" s="8">
        <v>42613</v>
      </c>
      <c r="B9">
        <v>1.1299999999999999</v>
      </c>
    </row>
    <row r="10" spans="1:4" x14ac:dyDescent="0.25">
      <c r="A10" s="8">
        <v>42643</v>
      </c>
      <c r="B10">
        <v>1.18</v>
      </c>
    </row>
    <row r="11" spans="1:4" x14ac:dyDescent="0.25">
      <c r="A11" s="8">
        <v>42674</v>
      </c>
      <c r="B11">
        <v>1.27</v>
      </c>
    </row>
    <row r="12" spans="1:4" x14ac:dyDescent="0.25">
      <c r="A12" s="8">
        <v>42704</v>
      </c>
      <c r="B12">
        <v>1.6</v>
      </c>
    </row>
    <row r="13" spans="1:4" x14ac:dyDescent="0.25">
      <c r="A13" s="8">
        <v>42735</v>
      </c>
      <c r="B13">
        <v>1.96</v>
      </c>
    </row>
    <row r="14" spans="1:4" x14ac:dyDescent="0.25">
      <c r="A14" s="8">
        <v>42766</v>
      </c>
      <c r="B14">
        <v>1.92</v>
      </c>
    </row>
    <row r="15" spans="1:4" x14ac:dyDescent="0.25">
      <c r="A15" s="8">
        <v>42794</v>
      </c>
      <c r="B15">
        <v>1.9</v>
      </c>
    </row>
    <row r="16" spans="1:4" x14ac:dyDescent="0.25">
      <c r="A16" s="8">
        <v>42825</v>
      </c>
      <c r="B16">
        <v>2.0099999999999998</v>
      </c>
    </row>
    <row r="17" spans="1:2" x14ac:dyDescent="0.25">
      <c r="A17" s="8">
        <v>42855</v>
      </c>
      <c r="B17">
        <v>1.82</v>
      </c>
    </row>
    <row r="18" spans="1:2" x14ac:dyDescent="0.25">
      <c r="A18" s="8">
        <v>42886</v>
      </c>
      <c r="B18">
        <v>1.84</v>
      </c>
    </row>
    <row r="19" spans="1:2" x14ac:dyDescent="0.25">
      <c r="A19" s="8">
        <v>42916</v>
      </c>
      <c r="B19">
        <v>1.77</v>
      </c>
    </row>
    <row r="20" spans="1:2" x14ac:dyDescent="0.25">
      <c r="A20" s="8">
        <v>42947</v>
      </c>
      <c r="B20">
        <v>1.87</v>
      </c>
    </row>
    <row r="21" spans="1:2" x14ac:dyDescent="0.25">
      <c r="A21" s="8">
        <v>42978</v>
      </c>
      <c r="B21">
        <v>1.78</v>
      </c>
    </row>
    <row r="22" spans="1:2" x14ac:dyDescent="0.25">
      <c r="A22" s="8">
        <v>43008</v>
      </c>
      <c r="B22">
        <v>1.8</v>
      </c>
    </row>
    <row r="23" spans="1:2" x14ac:dyDescent="0.25">
      <c r="A23" s="8">
        <v>43039</v>
      </c>
      <c r="B23">
        <v>1.98</v>
      </c>
    </row>
    <row r="24" spans="1:2" x14ac:dyDescent="0.25">
      <c r="A24" s="8">
        <v>43069</v>
      </c>
      <c r="B24">
        <v>2.0499999999999998</v>
      </c>
    </row>
    <row r="25" spans="1:2" x14ac:dyDescent="0.25">
      <c r="A25" s="8">
        <v>43100</v>
      </c>
      <c r="B25">
        <v>2.1800000000000002</v>
      </c>
    </row>
    <row r="26" spans="1:2" x14ac:dyDescent="0.25">
      <c r="A26" s="8">
        <v>43131</v>
      </c>
      <c r="B26">
        <v>2.38</v>
      </c>
    </row>
    <row r="27" spans="1:2" x14ac:dyDescent="0.25">
      <c r="A27" s="8">
        <v>43159</v>
      </c>
      <c r="B27">
        <v>2.6</v>
      </c>
    </row>
    <row r="28" spans="1:2" x14ac:dyDescent="0.25">
      <c r="A28" s="8">
        <v>43190</v>
      </c>
      <c r="B28">
        <v>2.63</v>
      </c>
    </row>
    <row r="29" spans="1:2" x14ac:dyDescent="0.25">
      <c r="A29" s="8">
        <v>43220</v>
      </c>
      <c r="B29">
        <v>2.7</v>
      </c>
    </row>
    <row r="30" spans="1:2" x14ac:dyDescent="0.25">
      <c r="A30" s="8">
        <v>43251</v>
      </c>
      <c r="B30">
        <v>2.82</v>
      </c>
    </row>
    <row r="31" spans="1:2" x14ac:dyDescent="0.25">
      <c r="A31" s="8">
        <v>43281</v>
      </c>
      <c r="B31">
        <v>2.78</v>
      </c>
    </row>
    <row r="32" spans="1:2" x14ac:dyDescent="0.25">
      <c r="A32" s="8">
        <v>43312</v>
      </c>
      <c r="B32">
        <v>2.78</v>
      </c>
    </row>
    <row r="33" spans="1:2" x14ac:dyDescent="0.25">
      <c r="A33" s="8">
        <v>43343</v>
      </c>
      <c r="B33">
        <v>2.77</v>
      </c>
    </row>
    <row r="34" spans="1:2" x14ac:dyDescent="0.25">
      <c r="A34" s="8">
        <v>43373</v>
      </c>
      <c r="B34">
        <v>2.89</v>
      </c>
    </row>
    <row r="35" spans="1:2" x14ac:dyDescent="0.25">
      <c r="A35" s="8">
        <v>43404</v>
      </c>
      <c r="B35">
        <v>3</v>
      </c>
    </row>
    <row r="36" spans="1:2" x14ac:dyDescent="0.25">
      <c r="A36" s="8">
        <v>43434</v>
      </c>
      <c r="B36">
        <v>2.95</v>
      </c>
    </row>
    <row r="37" spans="1:2" x14ac:dyDescent="0.25">
      <c r="A37" s="8">
        <v>43465</v>
      </c>
      <c r="B37">
        <v>2.68</v>
      </c>
    </row>
    <row r="38" spans="1:2" x14ac:dyDescent="0.25">
      <c r="A38" s="8">
        <v>43496</v>
      </c>
      <c r="B38">
        <v>2.54</v>
      </c>
    </row>
    <row r="39" spans="1:2" x14ac:dyDescent="0.25">
      <c r="A39" s="8">
        <v>43524</v>
      </c>
      <c r="B39">
        <v>2.4900000000000002</v>
      </c>
    </row>
    <row r="40" spans="1:2" x14ac:dyDescent="0.25">
      <c r="A40" s="8">
        <v>43555</v>
      </c>
      <c r="B40">
        <v>2.37</v>
      </c>
    </row>
    <row r="41" spans="1:2" x14ac:dyDescent="0.25">
      <c r="A41" s="8">
        <v>43585</v>
      </c>
      <c r="B41">
        <v>2.33</v>
      </c>
    </row>
    <row r="42" spans="1:2" x14ac:dyDescent="0.25">
      <c r="A42" s="8">
        <v>43616</v>
      </c>
      <c r="B42">
        <v>2.19</v>
      </c>
    </row>
    <row r="43" spans="1:2" x14ac:dyDescent="0.25">
      <c r="A43" s="8">
        <v>43646</v>
      </c>
      <c r="B43">
        <v>1.83</v>
      </c>
    </row>
    <row r="44" spans="1:2" x14ac:dyDescent="0.25">
      <c r="A44" s="8">
        <v>43677</v>
      </c>
      <c r="B44">
        <v>1.83</v>
      </c>
    </row>
    <row r="45" spans="1:2" x14ac:dyDescent="0.25">
      <c r="A45" s="8">
        <v>43708</v>
      </c>
      <c r="B45">
        <v>1.49</v>
      </c>
    </row>
    <row r="46" spans="1:2" x14ac:dyDescent="0.25">
      <c r="A46" s="8">
        <v>43738</v>
      </c>
      <c r="B46">
        <v>1.57</v>
      </c>
    </row>
    <row r="47" spans="1:2" x14ac:dyDescent="0.25">
      <c r="A47" s="8">
        <v>43769</v>
      </c>
      <c r="B47">
        <v>1.53</v>
      </c>
    </row>
    <row r="48" spans="1:2" x14ac:dyDescent="0.25">
      <c r="A48" s="8">
        <v>43799</v>
      </c>
      <c r="B48">
        <v>1.64</v>
      </c>
    </row>
    <row r="49" spans="1:2" x14ac:dyDescent="0.25">
      <c r="A49" s="8">
        <v>43830</v>
      </c>
      <c r="B49">
        <v>1.68</v>
      </c>
    </row>
    <row r="50" spans="1:2" x14ac:dyDescent="0.25">
      <c r="A50" s="8">
        <v>43861</v>
      </c>
      <c r="B50">
        <v>1.56</v>
      </c>
    </row>
    <row r="51" spans="1:2" x14ac:dyDescent="0.25">
      <c r="A51" s="8">
        <v>43890</v>
      </c>
      <c r="B51">
        <v>1.32</v>
      </c>
    </row>
    <row r="52" spans="1:2" x14ac:dyDescent="0.25">
      <c r="A52" s="8">
        <v>43921</v>
      </c>
      <c r="B52">
        <v>0.59</v>
      </c>
    </row>
    <row r="53" spans="1:2" x14ac:dyDescent="0.25">
      <c r="A53" s="8">
        <v>43951</v>
      </c>
      <c r="B53">
        <v>0.39</v>
      </c>
    </row>
    <row r="54" spans="1:2" x14ac:dyDescent="0.25">
      <c r="A54" s="8">
        <v>43982</v>
      </c>
      <c r="B54">
        <v>0.34</v>
      </c>
    </row>
    <row r="55" spans="1:2" x14ac:dyDescent="0.25">
      <c r="A55" s="8">
        <v>44012</v>
      </c>
      <c r="B55">
        <v>0.34</v>
      </c>
    </row>
    <row r="56" spans="1:2" x14ac:dyDescent="0.25">
      <c r="A56" s="8">
        <v>44043</v>
      </c>
      <c r="B56">
        <v>0.28000000000000003</v>
      </c>
    </row>
    <row r="57" spans="1:2" x14ac:dyDescent="0.25">
      <c r="A57" s="8">
        <v>44074</v>
      </c>
      <c r="B57">
        <v>0.27</v>
      </c>
    </row>
    <row r="58" spans="1:2" x14ac:dyDescent="0.25">
      <c r="A58" s="8">
        <v>44104</v>
      </c>
      <c r="B58">
        <v>0.27</v>
      </c>
    </row>
    <row r="59" spans="1:2" x14ac:dyDescent="0.25">
      <c r="A59" s="8">
        <v>44135</v>
      </c>
      <c r="B59">
        <v>0.34</v>
      </c>
    </row>
    <row r="60" spans="1:2" x14ac:dyDescent="0.25">
      <c r="A60" s="8">
        <v>44165</v>
      </c>
      <c r="B60">
        <v>0.39</v>
      </c>
    </row>
    <row r="61" spans="1:2" x14ac:dyDescent="0.25">
      <c r="A61" s="8">
        <v>44196</v>
      </c>
      <c r="B61">
        <v>0.39</v>
      </c>
    </row>
    <row r="62" spans="1:2" x14ac:dyDescent="0.25">
      <c r="A62" s="8">
        <v>44227</v>
      </c>
      <c r="B62">
        <v>0.45</v>
      </c>
    </row>
    <row r="63" spans="1:2" x14ac:dyDescent="0.25">
      <c r="A63" s="8">
        <v>44255</v>
      </c>
      <c r="B63">
        <v>0.54</v>
      </c>
    </row>
    <row r="64" spans="1:2" x14ac:dyDescent="0.25">
      <c r="A64" s="8">
        <v>44286</v>
      </c>
      <c r="B64">
        <v>0.82</v>
      </c>
    </row>
    <row r="65" spans="1:2" x14ac:dyDescent="0.25">
      <c r="A65" s="8">
        <v>44316</v>
      </c>
      <c r="B65">
        <v>0.86</v>
      </c>
    </row>
    <row r="66" spans="1:2" x14ac:dyDescent="0.25">
      <c r="A66" s="8">
        <v>44347</v>
      </c>
      <c r="B66">
        <v>0.82</v>
      </c>
    </row>
    <row r="67" spans="1:2" x14ac:dyDescent="0.25">
      <c r="A67" s="8">
        <v>44377</v>
      </c>
      <c r="B67">
        <v>0.84</v>
      </c>
    </row>
    <row r="68" spans="1:2" x14ac:dyDescent="0.25">
      <c r="A68" s="8">
        <v>44408</v>
      </c>
      <c r="B68">
        <v>0.76</v>
      </c>
    </row>
    <row r="69" spans="1:2" x14ac:dyDescent="0.25">
      <c r="A69" s="8">
        <v>44439</v>
      </c>
      <c r="B69">
        <v>0.77</v>
      </c>
    </row>
    <row r="70" spans="1:2" x14ac:dyDescent="0.25">
      <c r="A70" s="8">
        <v>44469</v>
      </c>
      <c r="B70">
        <v>0.86</v>
      </c>
    </row>
    <row r="71" spans="1:2" x14ac:dyDescent="0.25">
      <c r="A71" s="8">
        <v>44500</v>
      </c>
      <c r="B71">
        <v>1.1100000000000001</v>
      </c>
    </row>
    <row r="72" spans="1:2" x14ac:dyDescent="0.25">
      <c r="A72" s="8">
        <v>44530</v>
      </c>
      <c r="B72">
        <v>1.2</v>
      </c>
    </row>
    <row r="73" spans="1:2" x14ac:dyDescent="0.25">
      <c r="A73" s="8">
        <v>44561</v>
      </c>
      <c r="B73">
        <v>1.23</v>
      </c>
    </row>
    <row r="74" spans="1:2" x14ac:dyDescent="0.25">
      <c r="A74" s="8">
        <v>44592</v>
      </c>
      <c r="B74">
        <v>1.54</v>
      </c>
    </row>
    <row r="75" spans="1:2" x14ac:dyDescent="0.25">
      <c r="A75" s="8">
        <v>44620</v>
      </c>
      <c r="B75">
        <v>1.81</v>
      </c>
    </row>
    <row r="76" spans="1:2" x14ac:dyDescent="0.25">
      <c r="A76" s="8">
        <v>44651</v>
      </c>
      <c r="B76">
        <v>2.11</v>
      </c>
    </row>
    <row r="77" spans="1:2" x14ac:dyDescent="0.25">
      <c r="A77" s="8">
        <v>44681</v>
      </c>
      <c r="B77">
        <v>2.78</v>
      </c>
    </row>
    <row r="78" spans="1:2" x14ac:dyDescent="0.25">
      <c r="A78" s="8">
        <v>44712</v>
      </c>
      <c r="B78">
        <v>2.87</v>
      </c>
    </row>
    <row r="79" spans="1:2" x14ac:dyDescent="0.25">
      <c r="A79" s="8">
        <v>44742</v>
      </c>
      <c r="B79">
        <v>3.19</v>
      </c>
    </row>
    <row r="80" spans="1:2" x14ac:dyDescent="0.25">
      <c r="A80" s="8">
        <v>44773</v>
      </c>
      <c r="B80">
        <v>2.96</v>
      </c>
    </row>
    <row r="81" spans="1:2" x14ac:dyDescent="0.25">
      <c r="A81" s="8">
        <v>44804</v>
      </c>
      <c r="B81">
        <v>3.03</v>
      </c>
    </row>
    <row r="82" spans="1:2" x14ac:dyDescent="0.25">
      <c r="A82" s="8">
        <v>44834</v>
      </c>
      <c r="B82">
        <v>3.7</v>
      </c>
    </row>
    <row r="83" spans="1:2" x14ac:dyDescent="0.25">
      <c r="A83" s="8">
        <v>44865</v>
      </c>
      <c r="B83">
        <v>4.18</v>
      </c>
    </row>
    <row r="84" spans="1:2" x14ac:dyDescent="0.25">
      <c r="A84" s="8">
        <v>44895</v>
      </c>
      <c r="B84">
        <v>4.0599999999999996</v>
      </c>
    </row>
    <row r="85" spans="1:2" x14ac:dyDescent="0.25">
      <c r="A85" s="8">
        <v>44926</v>
      </c>
      <c r="B85">
        <v>3.76</v>
      </c>
    </row>
    <row r="86" spans="1:2" x14ac:dyDescent="0.25">
      <c r="A86" s="8">
        <v>44957</v>
      </c>
      <c r="B86">
        <v>3.64</v>
      </c>
    </row>
    <row r="87" spans="1:2" x14ac:dyDescent="0.25">
      <c r="A87" s="8">
        <v>44985</v>
      </c>
      <c r="B87">
        <v>3.94</v>
      </c>
    </row>
    <row r="88" spans="1:2" x14ac:dyDescent="0.25">
      <c r="A88" s="8">
        <v>45016</v>
      </c>
      <c r="B88">
        <v>3.82</v>
      </c>
    </row>
    <row r="89" spans="1:2" x14ac:dyDescent="0.25">
      <c r="A89" s="8">
        <v>45046</v>
      </c>
      <c r="B89">
        <v>3.54</v>
      </c>
    </row>
    <row r="90" spans="1:2" x14ac:dyDescent="0.25">
      <c r="A90" s="8">
        <v>45077</v>
      </c>
      <c r="B90">
        <v>3.59</v>
      </c>
    </row>
    <row r="91" spans="1:2" x14ac:dyDescent="0.25">
      <c r="A91" s="8">
        <v>45107</v>
      </c>
      <c r="B91">
        <v>3.95</v>
      </c>
    </row>
    <row r="92" spans="1:2" x14ac:dyDescent="0.25">
      <c r="A92" s="8">
        <v>45138</v>
      </c>
      <c r="B92">
        <v>4.1399999999999997</v>
      </c>
    </row>
    <row r="93" spans="1:2" x14ac:dyDescent="0.25">
      <c r="A93" s="8">
        <v>45169</v>
      </c>
      <c r="B93">
        <v>4.3099999999999996</v>
      </c>
    </row>
    <row r="94" spans="1:2" x14ac:dyDescent="0.25">
      <c r="A94" s="8">
        <v>45199</v>
      </c>
      <c r="B94">
        <v>4.49</v>
      </c>
    </row>
    <row r="95" spans="1:2" x14ac:dyDescent="0.25">
      <c r="A95" s="8">
        <v>45230</v>
      </c>
      <c r="B95">
        <v>4.7699999999999996</v>
      </c>
    </row>
    <row r="96" spans="1:2" x14ac:dyDescent="0.25">
      <c r="A96" s="8">
        <v>45260</v>
      </c>
      <c r="B96">
        <v>4.49</v>
      </c>
    </row>
    <row r="97" spans="1:2" x14ac:dyDescent="0.25">
      <c r="A97" s="8">
        <v>45291</v>
      </c>
      <c r="B97">
        <v>4</v>
      </c>
    </row>
    <row r="98" spans="1:2" x14ac:dyDescent="0.25">
      <c r="A98" s="8">
        <v>45322</v>
      </c>
      <c r="B98">
        <v>3.98</v>
      </c>
    </row>
    <row r="99" spans="1:2" x14ac:dyDescent="0.25">
      <c r="A99" s="8">
        <v>45351</v>
      </c>
      <c r="B99">
        <v>4.1900000000000004</v>
      </c>
    </row>
    <row r="100" spans="1:2" x14ac:dyDescent="0.25">
      <c r="A100" s="8">
        <v>45382</v>
      </c>
      <c r="B100">
        <v>4.2</v>
      </c>
    </row>
    <row r="101" spans="1:2" x14ac:dyDescent="0.25">
      <c r="A101" s="8">
        <v>45412</v>
      </c>
      <c r="B101">
        <v>4.5599999999999996</v>
      </c>
    </row>
    <row r="102" spans="1:2" x14ac:dyDescent="0.25">
      <c r="A102" s="8">
        <v>45443</v>
      </c>
      <c r="B102">
        <v>4.5</v>
      </c>
    </row>
    <row r="103" spans="1:2" x14ac:dyDescent="0.25">
      <c r="A103" s="8">
        <v>45473</v>
      </c>
      <c r="B103">
        <v>4.32</v>
      </c>
    </row>
    <row r="104" spans="1:2" x14ac:dyDescent="0.25">
      <c r="A104" s="8">
        <v>45504</v>
      </c>
      <c r="B104">
        <v>4.16</v>
      </c>
    </row>
    <row r="105" spans="1:2" x14ac:dyDescent="0.25">
      <c r="A105" s="8">
        <v>45535</v>
      </c>
      <c r="B105">
        <v>3.71</v>
      </c>
    </row>
    <row r="106" spans="1:2" x14ac:dyDescent="0.25">
      <c r="A106" s="8">
        <v>45565</v>
      </c>
      <c r="B106">
        <v>3.5</v>
      </c>
    </row>
    <row r="107" spans="1:2" x14ac:dyDescent="0.25">
      <c r="A107" s="8">
        <v>45596</v>
      </c>
      <c r="B107">
        <v>3.91</v>
      </c>
    </row>
    <row r="108" spans="1:2" x14ac:dyDescent="0.25">
      <c r="A108" s="8">
        <v>45626</v>
      </c>
      <c r="B108">
        <v>4.2300000000000004</v>
      </c>
    </row>
    <row r="109" spans="1:2" x14ac:dyDescent="0.25">
      <c r="A109" s="8">
        <v>45657</v>
      </c>
      <c r="B109">
        <v>4.25</v>
      </c>
    </row>
    <row r="110" spans="1:2" x14ac:dyDescent="0.25">
      <c r="A110" s="8">
        <v>45688</v>
      </c>
      <c r="B110">
        <v>4.43</v>
      </c>
    </row>
    <row r="111" spans="1:2" x14ac:dyDescent="0.25">
      <c r="A111" s="8">
        <v>45716</v>
      </c>
      <c r="B111">
        <v>4.28</v>
      </c>
    </row>
    <row r="112" spans="1:2" x14ac:dyDescent="0.25">
      <c r="A112" s="8">
        <v>45747</v>
      </c>
      <c r="B112">
        <v>4.04</v>
      </c>
    </row>
    <row r="113" spans="1:2" x14ac:dyDescent="0.25">
      <c r="A113" s="8">
        <v>45777</v>
      </c>
      <c r="B113">
        <v>3.91</v>
      </c>
    </row>
    <row r="114" spans="1:2" x14ac:dyDescent="0.25">
      <c r="A114" s="8">
        <v>45808</v>
      </c>
      <c r="B114">
        <v>4.0199999999999996</v>
      </c>
    </row>
    <row r="115" spans="1:2" x14ac:dyDescent="0.25">
      <c r="A115" s="8">
        <v>45838</v>
      </c>
      <c r="B115">
        <v>3.96</v>
      </c>
    </row>
    <row r="116" spans="1:2" x14ac:dyDescent="0.25">
      <c r="A116" s="8">
        <v>45869</v>
      </c>
      <c r="B116">
        <v>3.95</v>
      </c>
    </row>
    <row r="117" spans="1:2" x14ac:dyDescent="0.25">
      <c r="A117" s="8">
        <v>45900</v>
      </c>
      <c r="B117">
        <v>3.79</v>
      </c>
    </row>
    <row r="118" spans="1:2" x14ac:dyDescent="0.25">
      <c r="A118" s="8">
        <v>45930</v>
      </c>
      <c r="B118">
        <v>3.66</v>
      </c>
    </row>
    <row r="119" spans="1:2" x14ac:dyDescent="0.25">
      <c r="A119" s="8">
        <v>45961</v>
      </c>
      <c r="B119">
        <v>3.65</v>
      </c>
    </row>
    <row r="120" spans="1:2" x14ac:dyDescent="0.25">
      <c r="A120" s="8">
        <v>45991</v>
      </c>
      <c r="B120">
        <v>3.67</v>
      </c>
    </row>
    <row r="121" spans="1:2" x14ac:dyDescent="0.25">
      <c r="A121" s="8">
        <v>46022</v>
      </c>
      <c r="B121">
        <v>3.7</v>
      </c>
    </row>
    <row r="122" spans="1:2" x14ac:dyDescent="0.25">
      <c r="A122" s="8">
        <v>46053</v>
      </c>
      <c r="B122">
        <v>3.78</v>
      </c>
    </row>
    <row r="136" spans="1:4" x14ac:dyDescent="0.25">
      <c r="A136" s="6" t="s">
        <v>226</v>
      </c>
      <c r="B136" s="6" t="s">
        <v>227</v>
      </c>
      <c r="C136" s="6" t="s">
        <v>228</v>
      </c>
      <c r="D136" s="6" t="s">
        <v>54</v>
      </c>
    </row>
    <row r="137" spans="1:4" x14ac:dyDescent="0.25">
      <c r="A137" s="8">
        <f ca="1">_xll.BDH("H15T10Y Index","PX_LAST","02/01/2016",TODAY(),"Per=M","cols=2;rows=121")</f>
        <v>42400</v>
      </c>
      <c r="B137">
        <v>2.09</v>
      </c>
    </row>
    <row r="138" spans="1:4" x14ac:dyDescent="0.25">
      <c r="A138" s="8">
        <v>42429</v>
      </c>
      <c r="B138">
        <v>1.78</v>
      </c>
    </row>
    <row r="139" spans="1:4" x14ac:dyDescent="0.25">
      <c r="A139" s="8">
        <v>42460</v>
      </c>
      <c r="B139">
        <v>1.89</v>
      </c>
    </row>
    <row r="140" spans="1:4" x14ac:dyDescent="0.25">
      <c r="A140" s="8">
        <v>42490</v>
      </c>
      <c r="B140">
        <v>1.81</v>
      </c>
    </row>
    <row r="141" spans="1:4" x14ac:dyDescent="0.25">
      <c r="A141" s="8">
        <v>42521</v>
      </c>
      <c r="B141">
        <v>1.81</v>
      </c>
    </row>
    <row r="142" spans="1:4" x14ac:dyDescent="0.25">
      <c r="A142" s="8">
        <v>42551</v>
      </c>
      <c r="B142">
        <v>1.64</v>
      </c>
    </row>
    <row r="143" spans="1:4" x14ac:dyDescent="0.25">
      <c r="A143" s="8">
        <v>42582</v>
      </c>
      <c r="B143">
        <v>1.5</v>
      </c>
    </row>
    <row r="144" spans="1:4" x14ac:dyDescent="0.25">
      <c r="A144" s="8">
        <v>42613</v>
      </c>
      <c r="B144">
        <v>1.56</v>
      </c>
    </row>
    <row r="145" spans="1:2" x14ac:dyDescent="0.25">
      <c r="A145" s="8">
        <v>42643</v>
      </c>
      <c r="B145">
        <v>1.63</v>
      </c>
    </row>
    <row r="146" spans="1:2" x14ac:dyDescent="0.25">
      <c r="A146" s="8">
        <v>42674</v>
      </c>
      <c r="B146">
        <v>1.76</v>
      </c>
    </row>
    <row r="147" spans="1:2" x14ac:dyDescent="0.25">
      <c r="A147" s="8">
        <v>42704</v>
      </c>
      <c r="B147">
        <v>2.14</v>
      </c>
    </row>
    <row r="148" spans="1:2" x14ac:dyDescent="0.25">
      <c r="A148" s="8">
        <v>42735</v>
      </c>
      <c r="B148">
        <v>2.4900000000000002</v>
      </c>
    </row>
    <row r="149" spans="1:2" x14ac:dyDescent="0.25">
      <c r="A149" s="8">
        <v>42766</v>
      </c>
      <c r="B149">
        <v>2.4300000000000002</v>
      </c>
    </row>
    <row r="150" spans="1:2" x14ac:dyDescent="0.25">
      <c r="A150" s="8">
        <v>42794</v>
      </c>
      <c r="B150">
        <v>2.42</v>
      </c>
    </row>
    <row r="151" spans="1:2" x14ac:dyDescent="0.25">
      <c r="A151" s="8">
        <v>42825</v>
      </c>
      <c r="B151">
        <v>2.48</v>
      </c>
    </row>
    <row r="152" spans="1:2" x14ac:dyDescent="0.25">
      <c r="A152" s="8">
        <v>42855</v>
      </c>
      <c r="B152">
        <v>2.2999999999999998</v>
      </c>
    </row>
    <row r="153" spans="1:2" x14ac:dyDescent="0.25">
      <c r="A153" s="8">
        <v>42886</v>
      </c>
      <c r="B153">
        <v>2.2999999999999998</v>
      </c>
    </row>
    <row r="154" spans="1:2" x14ac:dyDescent="0.25">
      <c r="A154" s="8">
        <v>42916</v>
      </c>
      <c r="B154">
        <v>2.19</v>
      </c>
    </row>
    <row r="155" spans="1:2" x14ac:dyDescent="0.25">
      <c r="A155" s="8">
        <v>42947</v>
      </c>
      <c r="B155">
        <v>2.3199999999999998</v>
      </c>
    </row>
    <row r="156" spans="1:2" x14ac:dyDescent="0.25">
      <c r="A156" s="8">
        <v>42978</v>
      </c>
      <c r="B156">
        <v>2.21</v>
      </c>
    </row>
    <row r="157" spans="1:2" x14ac:dyDescent="0.25">
      <c r="A157" s="8">
        <v>43008</v>
      </c>
      <c r="B157">
        <v>2.2000000000000002</v>
      </c>
    </row>
    <row r="158" spans="1:2" x14ac:dyDescent="0.25">
      <c r="A158" s="8">
        <v>43039</v>
      </c>
      <c r="B158">
        <v>2.36</v>
      </c>
    </row>
    <row r="159" spans="1:2" x14ac:dyDescent="0.25">
      <c r="A159" s="8">
        <v>43069</v>
      </c>
      <c r="B159">
        <v>2.35</v>
      </c>
    </row>
    <row r="160" spans="1:2" x14ac:dyDescent="0.25">
      <c r="A160" s="8">
        <v>43100</v>
      </c>
      <c r="B160">
        <v>2.4</v>
      </c>
    </row>
    <row r="161" spans="1:2" x14ac:dyDescent="0.25">
      <c r="A161" s="8">
        <v>43131</v>
      </c>
      <c r="B161">
        <v>2.58</v>
      </c>
    </row>
    <row r="162" spans="1:2" x14ac:dyDescent="0.25">
      <c r="A162" s="8">
        <v>43159</v>
      </c>
      <c r="B162">
        <v>2.86</v>
      </c>
    </row>
    <row r="163" spans="1:2" x14ac:dyDescent="0.25">
      <c r="A163" s="8">
        <v>43190</v>
      </c>
      <c r="B163">
        <v>2.84</v>
      </c>
    </row>
    <row r="164" spans="1:2" x14ac:dyDescent="0.25">
      <c r="A164" s="8">
        <v>43220</v>
      </c>
      <c r="B164">
        <v>2.87</v>
      </c>
    </row>
    <row r="165" spans="1:2" x14ac:dyDescent="0.25">
      <c r="A165" s="8">
        <v>43251</v>
      </c>
      <c r="B165">
        <v>2.98</v>
      </c>
    </row>
    <row r="166" spans="1:2" x14ac:dyDescent="0.25">
      <c r="A166" s="8">
        <v>43281</v>
      </c>
      <c r="B166">
        <v>2.91</v>
      </c>
    </row>
    <row r="167" spans="1:2" x14ac:dyDescent="0.25">
      <c r="A167" s="8">
        <v>43312</v>
      </c>
      <c r="B167">
        <v>2.89</v>
      </c>
    </row>
    <row r="168" spans="1:2" x14ac:dyDescent="0.25">
      <c r="A168" s="8">
        <v>43343</v>
      </c>
      <c r="B168">
        <v>2.89</v>
      </c>
    </row>
    <row r="169" spans="1:2" x14ac:dyDescent="0.25">
      <c r="A169" s="8">
        <v>43373</v>
      </c>
      <c r="B169">
        <v>3</v>
      </c>
    </row>
    <row r="170" spans="1:2" x14ac:dyDescent="0.25">
      <c r="A170" s="8">
        <v>43404</v>
      </c>
      <c r="B170">
        <v>3.15</v>
      </c>
    </row>
    <row r="171" spans="1:2" x14ac:dyDescent="0.25">
      <c r="A171" s="8">
        <v>43434</v>
      </c>
      <c r="B171">
        <v>3.12</v>
      </c>
    </row>
    <row r="172" spans="1:2" x14ac:dyDescent="0.25">
      <c r="A172" s="8">
        <v>43465</v>
      </c>
      <c r="B172">
        <v>2.83</v>
      </c>
    </row>
    <row r="173" spans="1:2" x14ac:dyDescent="0.25">
      <c r="A173" s="8">
        <v>43496</v>
      </c>
      <c r="B173">
        <v>2.71</v>
      </c>
    </row>
    <row r="174" spans="1:2" x14ac:dyDescent="0.25">
      <c r="A174" s="8">
        <v>43524</v>
      </c>
      <c r="B174">
        <v>2.68</v>
      </c>
    </row>
    <row r="175" spans="1:2" x14ac:dyDescent="0.25">
      <c r="A175" s="8">
        <v>43555</v>
      </c>
      <c r="B175">
        <v>2.57</v>
      </c>
    </row>
    <row r="176" spans="1:2" x14ac:dyDescent="0.25">
      <c r="A176" s="8">
        <v>43585</v>
      </c>
      <c r="B176">
        <v>2.5299999999999998</v>
      </c>
    </row>
    <row r="177" spans="1:2" x14ac:dyDescent="0.25">
      <c r="A177" s="8">
        <v>43616</v>
      </c>
      <c r="B177">
        <v>2.4</v>
      </c>
    </row>
    <row r="178" spans="1:2" x14ac:dyDescent="0.25">
      <c r="A178" s="8">
        <v>43646</v>
      </c>
      <c r="B178">
        <v>2.0699999999999998</v>
      </c>
    </row>
    <row r="179" spans="1:2" x14ac:dyDescent="0.25">
      <c r="A179" s="8">
        <v>43677</v>
      </c>
      <c r="B179">
        <v>2.06</v>
      </c>
    </row>
    <row r="180" spans="1:2" x14ac:dyDescent="0.25">
      <c r="A180" s="8">
        <v>43708</v>
      </c>
      <c r="B180">
        <v>1.63</v>
      </c>
    </row>
    <row r="181" spans="1:2" x14ac:dyDescent="0.25">
      <c r="A181" s="8">
        <v>43738</v>
      </c>
      <c r="B181">
        <v>1.7</v>
      </c>
    </row>
    <row r="182" spans="1:2" x14ac:dyDescent="0.25">
      <c r="A182" s="8">
        <v>43769</v>
      </c>
      <c r="B182">
        <v>1.71</v>
      </c>
    </row>
    <row r="183" spans="1:2" x14ac:dyDescent="0.25">
      <c r="A183" s="8">
        <v>43799</v>
      </c>
      <c r="B183">
        <v>1.81</v>
      </c>
    </row>
    <row r="184" spans="1:2" x14ac:dyDescent="0.25">
      <c r="A184" s="8">
        <v>43830</v>
      </c>
      <c r="B184">
        <v>1.86</v>
      </c>
    </row>
    <row r="185" spans="1:2" x14ac:dyDescent="0.25">
      <c r="A185" s="8">
        <v>43861</v>
      </c>
      <c r="B185">
        <v>1.76</v>
      </c>
    </row>
    <row r="186" spans="1:2" x14ac:dyDescent="0.25">
      <c r="A186" s="8">
        <v>43890</v>
      </c>
      <c r="B186">
        <v>1.5</v>
      </c>
    </row>
    <row r="187" spans="1:2" x14ac:dyDescent="0.25">
      <c r="A187" s="8">
        <v>43921</v>
      </c>
      <c r="B187">
        <v>0.87</v>
      </c>
    </row>
    <row r="188" spans="1:2" x14ac:dyDescent="0.25">
      <c r="A188" s="8">
        <v>43951</v>
      </c>
      <c r="B188">
        <v>0.66</v>
      </c>
    </row>
    <row r="189" spans="1:2" x14ac:dyDescent="0.25">
      <c r="A189" s="8">
        <v>43982</v>
      </c>
      <c r="B189">
        <v>0.67</v>
      </c>
    </row>
    <row r="190" spans="1:2" x14ac:dyDescent="0.25">
      <c r="A190" s="8">
        <v>44012</v>
      </c>
      <c r="B190">
        <v>0.73</v>
      </c>
    </row>
    <row r="191" spans="1:2" x14ac:dyDescent="0.25">
      <c r="A191" s="8">
        <v>44043</v>
      </c>
      <c r="B191">
        <v>0.62</v>
      </c>
    </row>
    <row r="192" spans="1:2" x14ac:dyDescent="0.25">
      <c r="A192" s="8">
        <v>44074</v>
      </c>
      <c r="B192">
        <v>0.65</v>
      </c>
    </row>
    <row r="193" spans="1:2" x14ac:dyDescent="0.25">
      <c r="A193" s="8">
        <v>44104</v>
      </c>
      <c r="B193">
        <v>0.68</v>
      </c>
    </row>
    <row r="194" spans="1:2" x14ac:dyDescent="0.25">
      <c r="A194" s="8">
        <v>44135</v>
      </c>
      <c r="B194">
        <v>0.79</v>
      </c>
    </row>
    <row r="195" spans="1:2" x14ac:dyDescent="0.25">
      <c r="A195" s="8">
        <v>44165</v>
      </c>
      <c r="B195">
        <v>0.87</v>
      </c>
    </row>
    <row r="196" spans="1:2" x14ac:dyDescent="0.25">
      <c r="A196" s="8">
        <v>44196</v>
      </c>
      <c r="B196">
        <v>0.93</v>
      </c>
    </row>
    <row r="197" spans="1:2" x14ac:dyDescent="0.25">
      <c r="A197" s="8">
        <v>44227</v>
      </c>
      <c r="B197">
        <v>1.08</v>
      </c>
    </row>
    <row r="198" spans="1:2" x14ac:dyDescent="0.25">
      <c r="A198" s="8">
        <v>44255</v>
      </c>
      <c r="B198">
        <v>1.26</v>
      </c>
    </row>
    <row r="199" spans="1:2" x14ac:dyDescent="0.25">
      <c r="A199" s="8">
        <v>44286</v>
      </c>
      <c r="B199">
        <v>1.61</v>
      </c>
    </row>
    <row r="200" spans="1:2" x14ac:dyDescent="0.25">
      <c r="A200" s="8">
        <v>44316</v>
      </c>
      <c r="B200">
        <v>1.64</v>
      </c>
    </row>
    <row r="201" spans="1:2" x14ac:dyDescent="0.25">
      <c r="A201" s="8">
        <v>44347</v>
      </c>
      <c r="B201">
        <v>1.62</v>
      </c>
    </row>
    <row r="202" spans="1:2" x14ac:dyDescent="0.25">
      <c r="A202" s="8">
        <v>44377</v>
      </c>
      <c r="B202">
        <v>1.52</v>
      </c>
    </row>
    <row r="203" spans="1:2" x14ac:dyDescent="0.25">
      <c r="A203" s="8">
        <v>44408</v>
      </c>
      <c r="B203">
        <v>1.32</v>
      </c>
    </row>
    <row r="204" spans="1:2" x14ac:dyDescent="0.25">
      <c r="A204" s="8">
        <v>44439</v>
      </c>
      <c r="B204">
        <v>1.28</v>
      </c>
    </row>
    <row r="205" spans="1:2" x14ac:dyDescent="0.25">
      <c r="A205" s="8">
        <v>44469</v>
      </c>
      <c r="B205">
        <v>1.37</v>
      </c>
    </row>
    <row r="206" spans="1:2" x14ac:dyDescent="0.25">
      <c r="A206" s="8">
        <v>44500</v>
      </c>
      <c r="B206">
        <v>1.58</v>
      </c>
    </row>
    <row r="207" spans="1:2" x14ac:dyDescent="0.25">
      <c r="A207" s="8">
        <v>44530</v>
      </c>
      <c r="B207">
        <v>1.56</v>
      </c>
    </row>
    <row r="208" spans="1:2" x14ac:dyDescent="0.25">
      <c r="A208" s="8">
        <v>44561</v>
      </c>
      <c r="B208">
        <v>1.47</v>
      </c>
    </row>
    <row r="209" spans="1:2" x14ac:dyDescent="0.25">
      <c r="A209" s="8">
        <v>44592</v>
      </c>
      <c r="B209">
        <v>1.76</v>
      </c>
    </row>
    <row r="210" spans="1:2" x14ac:dyDescent="0.25">
      <c r="A210" s="8">
        <v>44620</v>
      </c>
      <c r="B210">
        <v>1.93</v>
      </c>
    </row>
    <row r="211" spans="1:2" x14ac:dyDescent="0.25">
      <c r="A211" s="8">
        <v>44651</v>
      </c>
      <c r="B211">
        <v>2.13</v>
      </c>
    </row>
    <row r="212" spans="1:2" x14ac:dyDescent="0.25">
      <c r="A212" s="8">
        <v>44681</v>
      </c>
      <c r="B212">
        <v>2.75</v>
      </c>
    </row>
    <row r="213" spans="1:2" x14ac:dyDescent="0.25">
      <c r="A213" s="8">
        <v>44712</v>
      </c>
      <c r="B213">
        <v>2.9</v>
      </c>
    </row>
    <row r="214" spans="1:2" x14ac:dyDescent="0.25">
      <c r="A214" s="8">
        <v>44742</v>
      </c>
      <c r="B214">
        <v>3.14</v>
      </c>
    </row>
    <row r="215" spans="1:2" x14ac:dyDescent="0.25">
      <c r="A215" s="8">
        <v>44773</v>
      </c>
      <c r="B215">
        <v>2.9</v>
      </c>
    </row>
    <row r="216" spans="1:2" x14ac:dyDescent="0.25">
      <c r="A216" s="8">
        <v>44804</v>
      </c>
      <c r="B216">
        <v>2.9</v>
      </c>
    </row>
    <row r="217" spans="1:2" x14ac:dyDescent="0.25">
      <c r="A217" s="8">
        <v>44834</v>
      </c>
      <c r="B217">
        <v>3.52</v>
      </c>
    </row>
    <row r="218" spans="1:2" x14ac:dyDescent="0.25">
      <c r="A218" s="8">
        <v>44865</v>
      </c>
      <c r="B218">
        <v>3.98</v>
      </c>
    </row>
    <row r="219" spans="1:2" x14ac:dyDescent="0.25">
      <c r="A219" s="8">
        <v>44895</v>
      </c>
      <c r="B219">
        <v>3.89</v>
      </c>
    </row>
    <row r="220" spans="1:2" x14ac:dyDescent="0.25">
      <c r="A220" s="8">
        <v>44926</v>
      </c>
      <c r="B220">
        <v>3.62</v>
      </c>
    </row>
    <row r="221" spans="1:2" x14ac:dyDescent="0.25">
      <c r="A221" s="8">
        <v>44957</v>
      </c>
      <c r="B221">
        <v>3.53</v>
      </c>
    </row>
    <row r="222" spans="1:2" x14ac:dyDescent="0.25">
      <c r="A222" s="8">
        <v>44985</v>
      </c>
      <c r="B222">
        <v>3.75</v>
      </c>
    </row>
    <row r="223" spans="1:2" x14ac:dyDescent="0.25">
      <c r="A223" s="8">
        <v>45016</v>
      </c>
      <c r="B223">
        <v>3.66</v>
      </c>
    </row>
    <row r="224" spans="1:2" x14ac:dyDescent="0.25">
      <c r="A224" s="8">
        <v>45046</v>
      </c>
      <c r="B224">
        <v>3.46</v>
      </c>
    </row>
    <row r="225" spans="1:2" x14ac:dyDescent="0.25">
      <c r="A225" s="8">
        <v>45077</v>
      </c>
      <c r="B225">
        <v>3.57</v>
      </c>
    </row>
    <row r="226" spans="1:2" x14ac:dyDescent="0.25">
      <c r="A226" s="8">
        <v>45107</v>
      </c>
      <c r="B226">
        <v>3.75</v>
      </c>
    </row>
    <row r="227" spans="1:2" x14ac:dyDescent="0.25">
      <c r="A227" s="8">
        <v>45138</v>
      </c>
      <c r="B227">
        <v>3.9</v>
      </c>
    </row>
    <row r="228" spans="1:2" x14ac:dyDescent="0.25">
      <c r="A228" s="8">
        <v>45169</v>
      </c>
      <c r="B228">
        <v>4.17</v>
      </c>
    </row>
    <row r="229" spans="1:2" x14ac:dyDescent="0.25">
      <c r="A229" s="8">
        <v>45199</v>
      </c>
      <c r="B229">
        <v>4.38</v>
      </c>
    </row>
    <row r="230" spans="1:2" x14ac:dyDescent="0.25">
      <c r="A230" s="8">
        <v>45230</v>
      </c>
      <c r="B230">
        <v>4.8</v>
      </c>
    </row>
    <row r="231" spans="1:2" x14ac:dyDescent="0.25">
      <c r="A231" s="8">
        <v>45260</v>
      </c>
      <c r="B231">
        <v>4.5</v>
      </c>
    </row>
    <row r="232" spans="1:2" x14ac:dyDescent="0.25">
      <c r="A232" s="8">
        <v>45291</v>
      </c>
      <c r="B232">
        <v>4.0199999999999996</v>
      </c>
    </row>
    <row r="233" spans="1:2" x14ac:dyDescent="0.25">
      <c r="A233" s="8">
        <v>45322</v>
      </c>
      <c r="B233">
        <v>4.0599999999999996</v>
      </c>
    </row>
    <row r="234" spans="1:2" x14ac:dyDescent="0.25">
      <c r="A234" s="8">
        <v>45351</v>
      </c>
      <c r="B234">
        <v>4.21</v>
      </c>
    </row>
    <row r="235" spans="1:2" x14ac:dyDescent="0.25">
      <c r="A235" s="8">
        <v>45382</v>
      </c>
      <c r="B235">
        <v>4.21</v>
      </c>
    </row>
    <row r="236" spans="1:2" x14ac:dyDescent="0.25">
      <c r="A236" s="8">
        <v>45412</v>
      </c>
      <c r="B236">
        <v>4.54</v>
      </c>
    </row>
    <row r="237" spans="1:2" x14ac:dyDescent="0.25">
      <c r="A237" s="8">
        <v>45443</v>
      </c>
      <c r="B237">
        <v>4.4800000000000004</v>
      </c>
    </row>
    <row r="238" spans="1:2" x14ac:dyDescent="0.25">
      <c r="A238" s="8">
        <v>45473</v>
      </c>
      <c r="B238">
        <v>4.3099999999999996</v>
      </c>
    </row>
    <row r="239" spans="1:2" x14ac:dyDescent="0.25">
      <c r="A239" s="8">
        <v>45504</v>
      </c>
      <c r="B239">
        <v>4.25</v>
      </c>
    </row>
    <row r="240" spans="1:2" x14ac:dyDescent="0.25">
      <c r="A240" s="8">
        <v>45535</v>
      </c>
      <c r="B240">
        <v>3.87</v>
      </c>
    </row>
    <row r="241" spans="1:2" x14ac:dyDescent="0.25">
      <c r="A241" s="8">
        <v>45565</v>
      </c>
      <c r="B241">
        <v>3.72</v>
      </c>
    </row>
    <row r="242" spans="1:2" x14ac:dyDescent="0.25">
      <c r="A242" s="8">
        <v>45596</v>
      </c>
      <c r="B242">
        <v>4.0999999999999996</v>
      </c>
    </row>
    <row r="243" spans="1:2" x14ac:dyDescent="0.25">
      <c r="A243" s="8">
        <v>45626</v>
      </c>
      <c r="B243">
        <v>4.3600000000000003</v>
      </c>
    </row>
    <row r="244" spans="1:2" x14ac:dyDescent="0.25">
      <c r="A244" s="8">
        <v>45657</v>
      </c>
      <c r="B244">
        <v>4.3899999999999997</v>
      </c>
    </row>
    <row r="245" spans="1:2" x14ac:dyDescent="0.25">
      <c r="A245" s="8">
        <v>45688</v>
      </c>
      <c r="B245">
        <v>4.63</v>
      </c>
    </row>
    <row r="246" spans="1:2" x14ac:dyDescent="0.25">
      <c r="A246" s="8">
        <v>45716</v>
      </c>
      <c r="B246">
        <v>4.45</v>
      </c>
    </row>
    <row r="247" spans="1:2" x14ac:dyDescent="0.25">
      <c r="A247" s="8">
        <v>45747</v>
      </c>
      <c r="B247">
        <v>4.28</v>
      </c>
    </row>
    <row r="248" spans="1:2" x14ac:dyDescent="0.25">
      <c r="A248" s="8">
        <v>45777</v>
      </c>
      <c r="B248">
        <v>4.28</v>
      </c>
    </row>
    <row r="249" spans="1:2" x14ac:dyDescent="0.25">
      <c r="A249" s="8">
        <v>45808</v>
      </c>
      <c r="B249">
        <v>4.42</v>
      </c>
    </row>
    <row r="250" spans="1:2" x14ac:dyDescent="0.25">
      <c r="A250" s="8">
        <v>45838</v>
      </c>
      <c r="B250">
        <v>4.38</v>
      </c>
    </row>
    <row r="251" spans="1:2" x14ac:dyDescent="0.25">
      <c r="A251" s="8">
        <v>45869</v>
      </c>
      <c r="B251">
        <v>4.3899999999999997</v>
      </c>
    </row>
    <row r="252" spans="1:2" x14ac:dyDescent="0.25">
      <c r="A252" s="8">
        <v>45900</v>
      </c>
      <c r="B252">
        <v>4.26</v>
      </c>
    </row>
    <row r="253" spans="1:2" x14ac:dyDescent="0.25">
      <c r="A253" s="8">
        <v>45930</v>
      </c>
      <c r="B253">
        <v>4.12</v>
      </c>
    </row>
    <row r="254" spans="1:2" x14ac:dyDescent="0.25">
      <c r="A254" s="8">
        <v>45961</v>
      </c>
      <c r="B254">
        <v>4.0599999999999996</v>
      </c>
    </row>
    <row r="255" spans="1:2" x14ac:dyDescent="0.25">
      <c r="A255" s="8">
        <v>45991</v>
      </c>
      <c r="B255">
        <v>4.09</v>
      </c>
    </row>
    <row r="256" spans="1:2" x14ac:dyDescent="0.25">
      <c r="A256" s="8">
        <v>46022</v>
      </c>
      <c r="B256">
        <v>4.1399999999999997</v>
      </c>
    </row>
    <row r="257" spans="1:4" x14ac:dyDescent="0.25">
      <c r="A257" s="8">
        <v>46053</v>
      </c>
      <c r="B257">
        <v>4.21</v>
      </c>
    </row>
    <row r="271" spans="1:4" x14ac:dyDescent="0.25">
      <c r="A271" s="6" t="s">
        <v>229</v>
      </c>
      <c r="B271" s="6" t="s">
        <v>230</v>
      </c>
      <c r="C271" s="6" t="s">
        <v>231</v>
      </c>
      <c r="D271" s="6" t="s">
        <v>54</v>
      </c>
    </row>
    <row r="272" spans="1:4" x14ac:dyDescent="0.25">
      <c r="A272" s="8">
        <f ca="1">_xll.BDH("GTDEM10YR Govt","PX_LAST","02/01/2016",TODAY(),"Per=M","cols=2;rows=121")</f>
        <v>42398</v>
      </c>
      <c r="B272">
        <v>0.32400000000000001</v>
      </c>
    </row>
    <row r="273" spans="1:2" x14ac:dyDescent="0.25">
      <c r="A273" s="8">
        <v>42429</v>
      </c>
      <c r="B273">
        <v>0.106</v>
      </c>
    </row>
    <row r="274" spans="1:2" x14ac:dyDescent="0.25">
      <c r="A274" s="8">
        <v>42460</v>
      </c>
      <c r="B274">
        <v>0.152</v>
      </c>
    </row>
    <row r="275" spans="1:2" x14ac:dyDescent="0.25">
      <c r="A275" s="8">
        <v>42489</v>
      </c>
      <c r="B275">
        <v>0.27100000000000002</v>
      </c>
    </row>
    <row r="276" spans="1:2" x14ac:dyDescent="0.25">
      <c r="A276" s="8">
        <v>42521</v>
      </c>
      <c r="B276">
        <v>0.13800000000000001</v>
      </c>
    </row>
    <row r="277" spans="1:2" x14ac:dyDescent="0.25">
      <c r="A277" s="8">
        <v>42551</v>
      </c>
      <c r="B277">
        <v>-0.13100000000000001</v>
      </c>
    </row>
    <row r="278" spans="1:2" x14ac:dyDescent="0.25">
      <c r="A278" s="8">
        <v>42580</v>
      </c>
      <c r="B278">
        <v>-0.121</v>
      </c>
    </row>
    <row r="279" spans="1:2" x14ac:dyDescent="0.25">
      <c r="A279" s="8">
        <v>42613</v>
      </c>
      <c r="B279">
        <v>-6.6000000000000003E-2</v>
      </c>
    </row>
    <row r="280" spans="1:2" x14ac:dyDescent="0.25">
      <c r="A280" s="8">
        <v>42643</v>
      </c>
      <c r="B280">
        <v>-0.122</v>
      </c>
    </row>
    <row r="281" spans="1:2" x14ac:dyDescent="0.25">
      <c r="A281" s="8">
        <v>42674</v>
      </c>
      <c r="B281">
        <v>0.161</v>
      </c>
    </row>
    <row r="282" spans="1:2" x14ac:dyDescent="0.25">
      <c r="A282" s="8">
        <v>42704</v>
      </c>
      <c r="B282">
        <v>0.27300000000000002</v>
      </c>
    </row>
    <row r="283" spans="1:2" x14ac:dyDescent="0.25">
      <c r="A283" s="8">
        <v>42734</v>
      </c>
      <c r="B283">
        <v>0.20399999999999999</v>
      </c>
    </row>
    <row r="284" spans="1:2" x14ac:dyDescent="0.25">
      <c r="A284" s="8">
        <v>42766</v>
      </c>
      <c r="B284">
        <v>0.434</v>
      </c>
    </row>
    <row r="285" spans="1:2" x14ac:dyDescent="0.25">
      <c r="A285" s="8">
        <v>42794</v>
      </c>
      <c r="B285">
        <v>0.20599999999999999</v>
      </c>
    </row>
    <row r="286" spans="1:2" x14ac:dyDescent="0.25">
      <c r="A286" s="8">
        <v>42825</v>
      </c>
      <c r="B286">
        <v>0.32500000000000001</v>
      </c>
    </row>
    <row r="287" spans="1:2" x14ac:dyDescent="0.25">
      <c r="A287" s="8">
        <v>42853</v>
      </c>
      <c r="B287">
        <v>0.315</v>
      </c>
    </row>
    <row r="288" spans="1:2" x14ac:dyDescent="0.25">
      <c r="A288" s="8">
        <v>42886</v>
      </c>
      <c r="B288">
        <v>0.30199999999999999</v>
      </c>
    </row>
    <row r="289" spans="1:2" x14ac:dyDescent="0.25">
      <c r="A289" s="8">
        <v>42916</v>
      </c>
      <c r="B289">
        <v>0.46500000000000002</v>
      </c>
    </row>
    <row r="290" spans="1:2" x14ac:dyDescent="0.25">
      <c r="A290" s="8">
        <v>42947</v>
      </c>
      <c r="B290">
        <v>0.54100000000000004</v>
      </c>
    </row>
    <row r="291" spans="1:2" x14ac:dyDescent="0.25">
      <c r="A291" s="8">
        <v>42978</v>
      </c>
      <c r="B291">
        <v>0.36</v>
      </c>
    </row>
    <row r="292" spans="1:2" x14ac:dyDescent="0.25">
      <c r="A292" s="8">
        <v>43007</v>
      </c>
      <c r="B292">
        <v>0.46200000000000002</v>
      </c>
    </row>
    <row r="293" spans="1:2" x14ac:dyDescent="0.25">
      <c r="A293" s="8">
        <v>43039</v>
      </c>
      <c r="B293">
        <v>0.36199999999999999</v>
      </c>
    </row>
    <row r="294" spans="1:2" x14ac:dyDescent="0.25">
      <c r="A294" s="8">
        <v>43069</v>
      </c>
      <c r="B294">
        <v>0.36599999999999999</v>
      </c>
    </row>
    <row r="295" spans="1:2" x14ac:dyDescent="0.25">
      <c r="A295" s="8">
        <v>43098</v>
      </c>
      <c r="B295">
        <v>0.42299999999999999</v>
      </c>
    </row>
    <row r="296" spans="1:2" x14ac:dyDescent="0.25">
      <c r="A296" s="8">
        <v>43131</v>
      </c>
      <c r="B296">
        <v>0.69499999999999995</v>
      </c>
    </row>
    <row r="297" spans="1:2" x14ac:dyDescent="0.25">
      <c r="A297" s="8">
        <v>43159</v>
      </c>
      <c r="B297">
        <v>0.65300000000000002</v>
      </c>
    </row>
    <row r="298" spans="1:2" x14ac:dyDescent="0.25">
      <c r="A298" s="8">
        <v>43189</v>
      </c>
      <c r="B298">
        <v>0.49399999999999999</v>
      </c>
    </row>
    <row r="299" spans="1:2" x14ac:dyDescent="0.25">
      <c r="A299" s="8">
        <v>43220</v>
      </c>
      <c r="B299">
        <v>0.55700000000000005</v>
      </c>
    </row>
    <row r="300" spans="1:2" x14ac:dyDescent="0.25">
      <c r="A300" s="8">
        <v>43251</v>
      </c>
      <c r="B300">
        <v>0.33800000000000002</v>
      </c>
    </row>
    <row r="301" spans="1:2" x14ac:dyDescent="0.25">
      <c r="A301" s="8">
        <v>43280</v>
      </c>
      <c r="B301">
        <v>0.3</v>
      </c>
    </row>
    <row r="302" spans="1:2" x14ac:dyDescent="0.25">
      <c r="A302" s="8">
        <v>43312</v>
      </c>
      <c r="B302">
        <v>0.442</v>
      </c>
    </row>
    <row r="303" spans="1:2" x14ac:dyDescent="0.25">
      <c r="A303" s="8">
        <v>43343</v>
      </c>
      <c r="B303">
        <v>0.32500000000000001</v>
      </c>
    </row>
    <row r="304" spans="1:2" x14ac:dyDescent="0.25">
      <c r="A304" s="8">
        <v>43371</v>
      </c>
      <c r="B304">
        <v>0.46899999999999997</v>
      </c>
    </row>
    <row r="305" spans="1:2" x14ac:dyDescent="0.25">
      <c r="A305" s="8">
        <v>43404</v>
      </c>
      <c r="B305">
        <v>0.38400000000000001</v>
      </c>
    </row>
    <row r="306" spans="1:2" x14ac:dyDescent="0.25">
      <c r="A306" s="8">
        <v>43434</v>
      </c>
      <c r="B306">
        <v>0.312</v>
      </c>
    </row>
    <row r="307" spans="1:2" x14ac:dyDescent="0.25">
      <c r="A307" s="8">
        <v>43465</v>
      </c>
      <c r="B307">
        <v>0.23899999999999999</v>
      </c>
    </row>
    <row r="308" spans="1:2" x14ac:dyDescent="0.25">
      <c r="A308" s="8">
        <v>43496</v>
      </c>
      <c r="B308">
        <v>0.14799999999999999</v>
      </c>
    </row>
    <row r="309" spans="1:2" x14ac:dyDescent="0.25">
      <c r="A309" s="8">
        <v>43524</v>
      </c>
      <c r="B309">
        <v>0.182</v>
      </c>
    </row>
    <row r="310" spans="1:2" x14ac:dyDescent="0.25">
      <c r="A310" s="8">
        <v>43553</v>
      </c>
      <c r="B310">
        <v>-7.1999999999999995E-2</v>
      </c>
    </row>
    <row r="311" spans="1:2" x14ac:dyDescent="0.25">
      <c r="A311" s="8">
        <v>43585</v>
      </c>
      <c r="B311">
        <v>1.2E-2</v>
      </c>
    </row>
    <row r="312" spans="1:2" x14ac:dyDescent="0.25">
      <c r="A312" s="8">
        <v>43616</v>
      </c>
      <c r="B312">
        <v>-0.20399999999999999</v>
      </c>
    </row>
    <row r="313" spans="1:2" x14ac:dyDescent="0.25">
      <c r="A313" s="8">
        <v>43644</v>
      </c>
      <c r="B313">
        <v>-0.32900000000000001</v>
      </c>
    </row>
    <row r="314" spans="1:2" x14ac:dyDescent="0.25">
      <c r="A314" s="8">
        <v>43677</v>
      </c>
      <c r="B314">
        <v>-0.442</v>
      </c>
    </row>
    <row r="315" spans="1:2" x14ac:dyDescent="0.25">
      <c r="A315" s="8">
        <v>43707</v>
      </c>
      <c r="B315">
        <v>-0.70199999999999996</v>
      </c>
    </row>
    <row r="316" spans="1:2" x14ac:dyDescent="0.25">
      <c r="A316" s="8">
        <v>43738</v>
      </c>
      <c r="B316">
        <v>-0.57299999999999995</v>
      </c>
    </row>
    <row r="317" spans="1:2" x14ac:dyDescent="0.25">
      <c r="A317" s="8">
        <v>43769</v>
      </c>
      <c r="B317">
        <v>-0.40899999999999997</v>
      </c>
    </row>
    <row r="318" spans="1:2" x14ac:dyDescent="0.25">
      <c r="A318" s="8">
        <v>43798</v>
      </c>
      <c r="B318">
        <v>-0.36199999999999999</v>
      </c>
    </row>
    <row r="319" spans="1:2" x14ac:dyDescent="0.25">
      <c r="A319" s="8">
        <v>43830</v>
      </c>
      <c r="B319">
        <v>-0.188</v>
      </c>
    </row>
    <row r="320" spans="1:2" x14ac:dyDescent="0.25">
      <c r="A320" s="8">
        <v>43861</v>
      </c>
      <c r="B320">
        <v>-0.436</v>
      </c>
    </row>
    <row r="321" spans="1:2" x14ac:dyDescent="0.25">
      <c r="A321" s="8">
        <v>43889</v>
      </c>
      <c r="B321">
        <v>-0.60899999999999999</v>
      </c>
    </row>
    <row r="322" spans="1:2" x14ac:dyDescent="0.25">
      <c r="A322" s="8">
        <v>43921</v>
      </c>
      <c r="B322">
        <v>-0.47399999999999998</v>
      </c>
    </row>
    <row r="323" spans="1:2" x14ac:dyDescent="0.25">
      <c r="A323" s="8">
        <v>43951</v>
      </c>
      <c r="B323">
        <v>-0.58899999999999997</v>
      </c>
    </row>
    <row r="324" spans="1:2" x14ac:dyDescent="0.25">
      <c r="A324" s="8">
        <v>43980</v>
      </c>
      <c r="B324">
        <v>-0.44900000000000001</v>
      </c>
    </row>
    <row r="325" spans="1:2" x14ac:dyDescent="0.25">
      <c r="A325" s="8">
        <v>44012</v>
      </c>
      <c r="B325">
        <v>-0.45600000000000002</v>
      </c>
    </row>
    <row r="326" spans="1:2" x14ac:dyDescent="0.25">
      <c r="A326" s="8">
        <v>44043</v>
      </c>
      <c r="B326">
        <v>-0.52500000000000002</v>
      </c>
    </row>
    <row r="327" spans="1:2" x14ac:dyDescent="0.25">
      <c r="A327" s="8">
        <v>44074</v>
      </c>
      <c r="B327">
        <v>-0.39800000000000002</v>
      </c>
    </row>
    <row r="328" spans="1:2" x14ac:dyDescent="0.25">
      <c r="A328" s="8">
        <v>44104</v>
      </c>
      <c r="B328">
        <v>-0.52300000000000002</v>
      </c>
    </row>
    <row r="329" spans="1:2" x14ac:dyDescent="0.25">
      <c r="A329" s="8">
        <v>44134</v>
      </c>
      <c r="B329">
        <v>-0.628</v>
      </c>
    </row>
    <row r="330" spans="1:2" x14ac:dyDescent="0.25">
      <c r="A330" s="8">
        <v>44165</v>
      </c>
      <c r="B330">
        <v>-0.57199999999999995</v>
      </c>
    </row>
    <row r="331" spans="1:2" x14ac:dyDescent="0.25">
      <c r="A331" s="8">
        <v>44196</v>
      </c>
      <c r="B331">
        <v>-0.57199999999999995</v>
      </c>
    </row>
    <row r="332" spans="1:2" x14ac:dyDescent="0.25">
      <c r="A332" s="8">
        <v>44225</v>
      </c>
      <c r="B332">
        <v>-0.51900000000000002</v>
      </c>
    </row>
    <row r="333" spans="1:2" x14ac:dyDescent="0.25">
      <c r="A333" s="8">
        <v>44253</v>
      </c>
      <c r="B333">
        <v>-0.26200000000000001</v>
      </c>
    </row>
    <row r="334" spans="1:2" x14ac:dyDescent="0.25">
      <c r="A334" s="8">
        <v>44286</v>
      </c>
      <c r="B334">
        <v>-0.29299999999999998</v>
      </c>
    </row>
    <row r="335" spans="1:2" x14ac:dyDescent="0.25">
      <c r="A335" s="8">
        <v>44316</v>
      </c>
      <c r="B335">
        <v>-0.20300000000000001</v>
      </c>
    </row>
    <row r="336" spans="1:2" x14ac:dyDescent="0.25">
      <c r="A336" s="8">
        <v>44347</v>
      </c>
      <c r="B336">
        <v>-0.188</v>
      </c>
    </row>
    <row r="337" spans="1:2" x14ac:dyDescent="0.25">
      <c r="A337" s="8">
        <v>44377</v>
      </c>
      <c r="B337">
        <v>-0.20899999999999999</v>
      </c>
    </row>
    <row r="338" spans="1:2" x14ac:dyDescent="0.25">
      <c r="A338" s="8">
        <v>44407</v>
      </c>
      <c r="B338">
        <v>-0.46200000000000002</v>
      </c>
    </row>
    <row r="339" spans="1:2" x14ac:dyDescent="0.25">
      <c r="A339" s="8">
        <v>44439</v>
      </c>
      <c r="B339">
        <v>-0.38500000000000001</v>
      </c>
    </row>
    <row r="340" spans="1:2" x14ac:dyDescent="0.25">
      <c r="A340" s="8">
        <v>44469</v>
      </c>
      <c r="B340">
        <v>-0.2</v>
      </c>
    </row>
    <row r="341" spans="1:2" x14ac:dyDescent="0.25">
      <c r="A341" s="8">
        <v>44498</v>
      </c>
      <c r="B341">
        <v>-0.107</v>
      </c>
    </row>
    <row r="342" spans="1:2" x14ac:dyDescent="0.25">
      <c r="A342" s="8">
        <v>44530</v>
      </c>
      <c r="B342">
        <v>-0.35099999999999998</v>
      </c>
    </row>
    <row r="343" spans="1:2" x14ac:dyDescent="0.25">
      <c r="A343" s="8">
        <v>44561</v>
      </c>
      <c r="B343">
        <v>-0.182</v>
      </c>
    </row>
    <row r="344" spans="1:2" x14ac:dyDescent="0.25">
      <c r="A344" s="8">
        <v>44592</v>
      </c>
      <c r="B344">
        <v>8.9999999999999993E-3</v>
      </c>
    </row>
    <row r="345" spans="1:2" x14ac:dyDescent="0.25">
      <c r="A345" s="8">
        <v>44620</v>
      </c>
      <c r="B345">
        <v>0.13200000000000001</v>
      </c>
    </row>
    <row r="346" spans="1:2" x14ac:dyDescent="0.25">
      <c r="A346" s="8">
        <v>44651</v>
      </c>
      <c r="B346">
        <v>0.54500000000000004</v>
      </c>
    </row>
    <row r="347" spans="1:2" x14ac:dyDescent="0.25">
      <c r="A347" s="8">
        <v>44680</v>
      </c>
      <c r="B347">
        <v>0.93700000000000006</v>
      </c>
    </row>
    <row r="348" spans="1:2" x14ac:dyDescent="0.25">
      <c r="A348" s="8">
        <v>44712</v>
      </c>
      <c r="B348">
        <v>1.1200000000000001</v>
      </c>
    </row>
    <row r="349" spans="1:2" x14ac:dyDescent="0.25">
      <c r="A349" s="8">
        <v>44742</v>
      </c>
      <c r="B349">
        <v>1.333</v>
      </c>
    </row>
    <row r="350" spans="1:2" x14ac:dyDescent="0.25">
      <c r="A350" s="8">
        <v>44771</v>
      </c>
      <c r="B350">
        <v>0.81399999999999995</v>
      </c>
    </row>
    <row r="351" spans="1:2" x14ac:dyDescent="0.25">
      <c r="A351" s="8">
        <v>44804</v>
      </c>
      <c r="B351">
        <v>1.5369999999999999</v>
      </c>
    </row>
    <row r="352" spans="1:2" x14ac:dyDescent="0.25">
      <c r="A352" s="8">
        <v>44834</v>
      </c>
      <c r="B352">
        <v>2.105</v>
      </c>
    </row>
    <row r="353" spans="1:2" x14ac:dyDescent="0.25">
      <c r="A353" s="8">
        <v>44865</v>
      </c>
      <c r="B353">
        <v>2.1389999999999998</v>
      </c>
    </row>
    <row r="354" spans="1:2" x14ac:dyDescent="0.25">
      <c r="A354" s="8">
        <v>44895</v>
      </c>
      <c r="B354">
        <v>1.9259999999999999</v>
      </c>
    </row>
    <row r="355" spans="1:2" x14ac:dyDescent="0.25">
      <c r="A355" s="8">
        <v>44925</v>
      </c>
      <c r="B355">
        <v>2.5649999999999999</v>
      </c>
    </row>
    <row r="356" spans="1:2" x14ac:dyDescent="0.25">
      <c r="A356" s="8">
        <v>44957</v>
      </c>
      <c r="B356">
        <v>2.2829999999999999</v>
      </c>
    </row>
    <row r="357" spans="1:2" x14ac:dyDescent="0.25">
      <c r="A357" s="8">
        <v>44985</v>
      </c>
      <c r="B357">
        <v>2.6480000000000001</v>
      </c>
    </row>
    <row r="358" spans="1:2" x14ac:dyDescent="0.25">
      <c r="A358" s="8">
        <v>45016</v>
      </c>
      <c r="B358">
        <v>2.2890000000000001</v>
      </c>
    </row>
    <row r="359" spans="1:2" x14ac:dyDescent="0.25">
      <c r="A359" s="8">
        <v>45044</v>
      </c>
      <c r="B359">
        <v>2.31</v>
      </c>
    </row>
    <row r="360" spans="1:2" x14ac:dyDescent="0.25">
      <c r="A360" s="8">
        <v>45077</v>
      </c>
      <c r="B360">
        <v>2.2799999999999998</v>
      </c>
    </row>
    <row r="361" spans="1:2" x14ac:dyDescent="0.25">
      <c r="A361" s="8">
        <v>45107</v>
      </c>
      <c r="B361">
        <v>2.39</v>
      </c>
    </row>
    <row r="362" spans="1:2" x14ac:dyDescent="0.25">
      <c r="A362" s="8">
        <v>45138</v>
      </c>
      <c r="B362">
        <v>2.4889999999999999</v>
      </c>
    </row>
    <row r="363" spans="1:2" x14ac:dyDescent="0.25">
      <c r="A363" s="8">
        <v>45169</v>
      </c>
      <c r="B363">
        <v>2.4620000000000002</v>
      </c>
    </row>
    <row r="364" spans="1:2" x14ac:dyDescent="0.25">
      <c r="A364" s="8">
        <v>45198</v>
      </c>
      <c r="B364">
        <v>2.8380000000000001</v>
      </c>
    </row>
    <row r="365" spans="1:2" x14ac:dyDescent="0.25">
      <c r="A365" s="8">
        <v>45230</v>
      </c>
      <c r="B365">
        <v>2.8039999999999998</v>
      </c>
    </row>
    <row r="366" spans="1:2" x14ac:dyDescent="0.25">
      <c r="A366" s="8">
        <v>45260</v>
      </c>
      <c r="B366">
        <v>2.4449999999999998</v>
      </c>
    </row>
    <row r="367" spans="1:2" x14ac:dyDescent="0.25">
      <c r="A367" s="8">
        <v>45289</v>
      </c>
      <c r="B367">
        <v>2.0209999999999999</v>
      </c>
    </row>
    <row r="368" spans="1:2" x14ac:dyDescent="0.25">
      <c r="A368" s="8">
        <v>45322</v>
      </c>
      <c r="B368">
        <v>2.165</v>
      </c>
    </row>
    <row r="369" spans="1:2" x14ac:dyDescent="0.25">
      <c r="A369" s="8">
        <v>45351</v>
      </c>
      <c r="B369">
        <v>2.41</v>
      </c>
    </row>
    <row r="370" spans="1:2" x14ac:dyDescent="0.25">
      <c r="A370" s="8">
        <v>45380</v>
      </c>
      <c r="B370">
        <v>2.2970000000000002</v>
      </c>
    </row>
    <row r="371" spans="1:2" x14ac:dyDescent="0.25">
      <c r="A371" s="8">
        <v>45412</v>
      </c>
      <c r="B371">
        <v>2.5830000000000002</v>
      </c>
    </row>
    <row r="372" spans="1:2" x14ac:dyDescent="0.25">
      <c r="A372" s="8">
        <v>45443</v>
      </c>
      <c r="B372">
        <v>2.6629999999999998</v>
      </c>
    </row>
    <row r="373" spans="1:2" x14ac:dyDescent="0.25">
      <c r="A373" s="8">
        <v>45471</v>
      </c>
      <c r="B373">
        <v>2.4969999999999999</v>
      </c>
    </row>
    <row r="374" spans="1:2" x14ac:dyDescent="0.25">
      <c r="A374" s="8">
        <v>45504</v>
      </c>
      <c r="B374">
        <v>2.302</v>
      </c>
    </row>
    <row r="375" spans="1:2" x14ac:dyDescent="0.25">
      <c r="A375" s="8">
        <v>45534</v>
      </c>
      <c r="B375">
        <v>2.298</v>
      </c>
    </row>
    <row r="376" spans="1:2" x14ac:dyDescent="0.25">
      <c r="A376" s="8">
        <v>45565</v>
      </c>
      <c r="B376">
        <v>2.1219999999999999</v>
      </c>
    </row>
    <row r="377" spans="1:2" x14ac:dyDescent="0.25">
      <c r="A377" s="8">
        <v>45596</v>
      </c>
      <c r="B377">
        <v>2.3879999999999999</v>
      </c>
    </row>
    <row r="378" spans="1:2" x14ac:dyDescent="0.25">
      <c r="A378" s="8">
        <v>45625</v>
      </c>
      <c r="B378">
        <v>2.0859999999999999</v>
      </c>
    </row>
    <row r="379" spans="1:2" x14ac:dyDescent="0.25">
      <c r="A379" s="8">
        <v>45657</v>
      </c>
      <c r="B379">
        <v>2.3639999999999999</v>
      </c>
    </row>
    <row r="380" spans="1:2" x14ac:dyDescent="0.25">
      <c r="A380" s="8">
        <v>45688</v>
      </c>
      <c r="B380">
        <v>2.4580000000000002</v>
      </c>
    </row>
    <row r="381" spans="1:2" x14ac:dyDescent="0.25">
      <c r="A381" s="8">
        <v>45716</v>
      </c>
      <c r="B381">
        <v>2.4049999999999998</v>
      </c>
    </row>
    <row r="382" spans="1:2" x14ac:dyDescent="0.25">
      <c r="A382" s="8">
        <v>45747</v>
      </c>
      <c r="B382">
        <v>2.7360000000000002</v>
      </c>
    </row>
    <row r="383" spans="1:2" x14ac:dyDescent="0.25">
      <c r="A383" s="8">
        <v>45777</v>
      </c>
      <c r="B383">
        <v>2.4430000000000001</v>
      </c>
    </row>
    <row r="384" spans="1:2" x14ac:dyDescent="0.25">
      <c r="A384" s="8">
        <v>45807</v>
      </c>
      <c r="B384">
        <v>2.4990000000000001</v>
      </c>
    </row>
    <row r="385" spans="1:2" x14ac:dyDescent="0.25">
      <c r="A385" s="8">
        <v>45838</v>
      </c>
      <c r="B385">
        <v>2.605</v>
      </c>
    </row>
    <row r="386" spans="1:2" x14ac:dyDescent="0.25">
      <c r="A386" s="8">
        <v>45869</v>
      </c>
      <c r="B386">
        <v>2.6930000000000001</v>
      </c>
    </row>
    <row r="387" spans="1:2" x14ac:dyDescent="0.25">
      <c r="A387" s="8">
        <v>45898</v>
      </c>
      <c r="B387">
        <v>2.7229999999999999</v>
      </c>
    </row>
    <row r="388" spans="1:2" x14ac:dyDescent="0.25">
      <c r="A388" s="8">
        <v>45930</v>
      </c>
      <c r="B388">
        <v>2.71</v>
      </c>
    </row>
    <row r="389" spans="1:2" x14ac:dyDescent="0.25">
      <c r="A389" s="8">
        <v>45961</v>
      </c>
      <c r="B389">
        <v>2.6320000000000001</v>
      </c>
    </row>
    <row r="390" spans="1:2" x14ac:dyDescent="0.25">
      <c r="A390" s="8">
        <v>45989</v>
      </c>
      <c r="B390">
        <v>2.6880000000000002</v>
      </c>
    </row>
    <row r="391" spans="1:2" x14ac:dyDescent="0.25">
      <c r="A391" s="8">
        <v>46022</v>
      </c>
      <c r="B391">
        <v>2.8540000000000001</v>
      </c>
    </row>
    <row r="392" spans="1:2" x14ac:dyDescent="0.25">
      <c r="A392" s="8">
        <v>46052</v>
      </c>
      <c r="B392">
        <v>2.8420000000000001</v>
      </c>
    </row>
    <row r="406" spans="1:4" x14ac:dyDescent="0.25">
      <c r="A406" s="6" t="s">
        <v>232</v>
      </c>
      <c r="B406" s="6" t="s">
        <v>233</v>
      </c>
      <c r="C406" s="6" t="s">
        <v>234</v>
      </c>
      <c r="D406" s="6" t="s">
        <v>54</v>
      </c>
    </row>
    <row r="407" spans="1:4" x14ac:dyDescent="0.25">
      <c r="A407" t="str">
        <f ca="1">_xll.BDH("GUKG10R Index","PX_LAST","02/01/2016",TODAY(),"Per=M")</f>
        <v>#N/A Invalid Security</v>
      </c>
    </row>
    <row r="541" spans="1:4" x14ac:dyDescent="0.25">
      <c r="A541" s="6" t="s">
        <v>235</v>
      </c>
      <c r="B541" s="6" t="s">
        <v>236</v>
      </c>
      <c r="C541" s="6" t="s">
        <v>237</v>
      </c>
      <c r="D541" s="6" t="s">
        <v>54</v>
      </c>
    </row>
    <row r="542" spans="1:4" x14ac:dyDescent="0.25">
      <c r="A542" s="8">
        <f ca="1">_xll.BDH("USGGBE10 Index","PX_LAST","02/01/2016",TODAY(),"Per=M","cols=2;rows=121")</f>
        <v>42398</v>
      </c>
      <c r="B542">
        <v>1.4048</v>
      </c>
    </row>
    <row r="543" spans="1:4" x14ac:dyDescent="0.25">
      <c r="A543" s="8">
        <v>42429</v>
      </c>
      <c r="B543">
        <v>1.4297</v>
      </c>
    </row>
    <row r="544" spans="1:4" x14ac:dyDescent="0.25">
      <c r="A544" s="8">
        <v>42460</v>
      </c>
      <c r="B544">
        <v>1.6301000000000001</v>
      </c>
    </row>
    <row r="545" spans="1:2" x14ac:dyDescent="0.25">
      <c r="A545" s="8">
        <v>42489</v>
      </c>
      <c r="B545">
        <v>1.7079</v>
      </c>
    </row>
    <row r="546" spans="1:2" x14ac:dyDescent="0.25">
      <c r="A546" s="8">
        <v>42521</v>
      </c>
      <c r="B546">
        <v>1.5797000000000001</v>
      </c>
    </row>
    <row r="547" spans="1:2" x14ac:dyDescent="0.25">
      <c r="A547" s="8">
        <v>42551</v>
      </c>
      <c r="B547">
        <v>1.4379</v>
      </c>
    </row>
    <row r="548" spans="1:2" x14ac:dyDescent="0.25">
      <c r="A548" s="8">
        <v>42580</v>
      </c>
      <c r="B548">
        <v>1.4903</v>
      </c>
    </row>
    <row r="549" spans="1:2" x14ac:dyDescent="0.25">
      <c r="A549" s="8">
        <v>42613</v>
      </c>
      <c r="B549">
        <v>1.4694</v>
      </c>
    </row>
    <row r="550" spans="1:2" x14ac:dyDescent="0.25">
      <c r="A550" s="8">
        <v>42643</v>
      </c>
      <c r="B550">
        <v>1.6101000000000001</v>
      </c>
    </row>
    <row r="551" spans="1:2" x14ac:dyDescent="0.25">
      <c r="A551" s="8">
        <v>42674</v>
      </c>
      <c r="B551">
        <v>1.7309000000000001</v>
      </c>
    </row>
    <row r="552" spans="1:2" x14ac:dyDescent="0.25">
      <c r="A552" s="8">
        <v>42704</v>
      </c>
      <c r="B552">
        <v>1.9753000000000001</v>
      </c>
    </row>
    <row r="553" spans="1:2" x14ac:dyDescent="0.25">
      <c r="A553" s="8">
        <v>42734</v>
      </c>
      <c r="B553">
        <v>1.9714</v>
      </c>
    </row>
    <row r="554" spans="1:2" x14ac:dyDescent="0.25">
      <c r="A554" s="8">
        <v>42766</v>
      </c>
      <c r="B554">
        <v>2.0594000000000001</v>
      </c>
    </row>
    <row r="555" spans="1:2" x14ac:dyDescent="0.25">
      <c r="A555" s="8">
        <v>42794</v>
      </c>
      <c r="B555">
        <v>2.0122</v>
      </c>
    </row>
    <row r="556" spans="1:2" x14ac:dyDescent="0.25">
      <c r="A556" s="8">
        <v>42825</v>
      </c>
      <c r="B556">
        <v>1.9847999999999999</v>
      </c>
    </row>
    <row r="557" spans="1:2" x14ac:dyDescent="0.25">
      <c r="A557" s="8">
        <v>42853</v>
      </c>
      <c r="B557">
        <v>1.9209000000000001</v>
      </c>
    </row>
    <row r="558" spans="1:2" x14ac:dyDescent="0.25">
      <c r="A558" s="8">
        <v>42886</v>
      </c>
      <c r="B558">
        <v>1.8362000000000001</v>
      </c>
    </row>
    <row r="559" spans="1:2" x14ac:dyDescent="0.25">
      <c r="A559" s="8">
        <v>42916</v>
      </c>
      <c r="B559">
        <v>1.7369000000000001</v>
      </c>
    </row>
    <row r="560" spans="1:2" x14ac:dyDescent="0.25">
      <c r="A560" s="8">
        <v>42947</v>
      </c>
      <c r="B560">
        <v>1.8187</v>
      </c>
    </row>
    <row r="561" spans="1:2" x14ac:dyDescent="0.25">
      <c r="A561" s="8">
        <v>42978</v>
      </c>
      <c r="B561">
        <v>1.7730999999999999</v>
      </c>
    </row>
    <row r="562" spans="1:2" x14ac:dyDescent="0.25">
      <c r="A562" s="8">
        <v>43007</v>
      </c>
      <c r="B562">
        <v>1.8543000000000001</v>
      </c>
    </row>
    <row r="563" spans="1:2" x14ac:dyDescent="0.25">
      <c r="A563" s="8">
        <v>43039</v>
      </c>
      <c r="B563">
        <v>1.8847</v>
      </c>
    </row>
    <row r="564" spans="1:2" x14ac:dyDescent="0.25">
      <c r="A564" s="8">
        <v>43069</v>
      </c>
      <c r="B564">
        <v>1.8827</v>
      </c>
    </row>
    <row r="565" spans="1:2" x14ac:dyDescent="0.25">
      <c r="A565" s="8">
        <v>43098</v>
      </c>
      <c r="B565">
        <v>1.9834000000000001</v>
      </c>
    </row>
    <row r="566" spans="1:2" x14ac:dyDescent="0.25">
      <c r="A566" s="8">
        <v>43131</v>
      </c>
      <c r="B566">
        <v>2.1120999999999999</v>
      </c>
    </row>
    <row r="567" spans="1:2" x14ac:dyDescent="0.25">
      <c r="A567" s="8">
        <v>43159</v>
      </c>
      <c r="B567">
        <v>2.1191</v>
      </c>
    </row>
    <row r="568" spans="1:2" x14ac:dyDescent="0.25">
      <c r="A568" s="8">
        <v>43189</v>
      </c>
      <c r="B568">
        <v>2.0558999999999998</v>
      </c>
    </row>
    <row r="569" spans="1:2" x14ac:dyDescent="0.25">
      <c r="A569" s="8">
        <v>43220</v>
      </c>
      <c r="B569">
        <v>2.1753</v>
      </c>
    </row>
    <row r="570" spans="1:2" x14ac:dyDescent="0.25">
      <c r="A570" s="8">
        <v>43251</v>
      </c>
      <c r="B570">
        <v>2.0893999999999999</v>
      </c>
    </row>
    <row r="571" spans="1:2" x14ac:dyDescent="0.25">
      <c r="A571" s="8">
        <v>43280</v>
      </c>
      <c r="B571">
        <v>2.1284999999999998</v>
      </c>
    </row>
    <row r="572" spans="1:2" x14ac:dyDescent="0.25">
      <c r="A572" s="8">
        <v>43312</v>
      </c>
      <c r="B572">
        <v>2.1272000000000002</v>
      </c>
    </row>
    <row r="573" spans="1:2" x14ac:dyDescent="0.25">
      <c r="A573" s="8">
        <v>43343</v>
      </c>
      <c r="B573">
        <v>2.0903</v>
      </c>
    </row>
    <row r="574" spans="1:2" x14ac:dyDescent="0.25">
      <c r="A574" s="8">
        <v>43371</v>
      </c>
      <c r="B574">
        <v>2.1448999999999998</v>
      </c>
    </row>
    <row r="575" spans="1:2" x14ac:dyDescent="0.25">
      <c r="A575" s="8">
        <v>43404</v>
      </c>
      <c r="B575">
        <v>2.0619999999999998</v>
      </c>
    </row>
    <row r="576" spans="1:2" x14ac:dyDescent="0.25">
      <c r="A576" s="8">
        <v>43434</v>
      </c>
      <c r="B576">
        <v>1.9686999999999999</v>
      </c>
    </row>
    <row r="577" spans="1:2" x14ac:dyDescent="0.25">
      <c r="A577" s="8">
        <v>43465</v>
      </c>
      <c r="B577">
        <v>1.7139</v>
      </c>
    </row>
    <row r="578" spans="1:2" x14ac:dyDescent="0.25">
      <c r="A578" s="8">
        <v>43496</v>
      </c>
      <c r="B578">
        <v>1.863</v>
      </c>
    </row>
    <row r="579" spans="1:2" x14ac:dyDescent="0.25">
      <c r="A579" s="8">
        <v>43524</v>
      </c>
      <c r="B579">
        <v>1.9441999999999999</v>
      </c>
    </row>
    <row r="580" spans="1:2" x14ac:dyDescent="0.25">
      <c r="A580" s="8">
        <v>43553</v>
      </c>
      <c r="B580">
        <v>1.8749</v>
      </c>
    </row>
    <row r="581" spans="1:2" x14ac:dyDescent="0.25">
      <c r="A581" s="8">
        <v>43585</v>
      </c>
      <c r="B581">
        <v>1.9497</v>
      </c>
    </row>
    <row r="582" spans="1:2" x14ac:dyDescent="0.25">
      <c r="A582" s="8">
        <v>43616</v>
      </c>
      <c r="B582">
        <v>1.742</v>
      </c>
    </row>
    <row r="583" spans="1:2" x14ac:dyDescent="0.25">
      <c r="A583" s="8">
        <v>43644</v>
      </c>
      <c r="B583">
        <v>1.7002999999999999</v>
      </c>
    </row>
    <row r="584" spans="1:2" x14ac:dyDescent="0.25">
      <c r="A584" s="8">
        <v>43677</v>
      </c>
      <c r="B584">
        <v>1.7497</v>
      </c>
    </row>
    <row r="585" spans="1:2" x14ac:dyDescent="0.25">
      <c r="A585" s="8">
        <v>43707</v>
      </c>
      <c r="B585">
        <v>1.5417000000000001</v>
      </c>
    </row>
    <row r="586" spans="1:2" x14ac:dyDescent="0.25">
      <c r="A586" s="8">
        <v>43738</v>
      </c>
      <c r="B586">
        <v>1.5204</v>
      </c>
    </row>
    <row r="587" spans="1:2" x14ac:dyDescent="0.25">
      <c r="A587" s="8">
        <v>43769</v>
      </c>
      <c r="B587">
        <v>1.5501</v>
      </c>
    </row>
    <row r="588" spans="1:2" x14ac:dyDescent="0.25">
      <c r="A588" s="8">
        <v>43798</v>
      </c>
      <c r="B588">
        <v>1.633</v>
      </c>
    </row>
    <row r="589" spans="1:2" x14ac:dyDescent="0.25">
      <c r="A589" s="8">
        <v>43830</v>
      </c>
      <c r="B589">
        <v>1.786</v>
      </c>
    </row>
    <row r="590" spans="1:2" x14ac:dyDescent="0.25">
      <c r="A590" s="8">
        <v>43861</v>
      </c>
      <c r="B590">
        <v>1.6408</v>
      </c>
    </row>
    <row r="591" spans="1:2" x14ac:dyDescent="0.25">
      <c r="A591" s="8">
        <v>43889</v>
      </c>
      <c r="B591">
        <v>1.4300999999999999</v>
      </c>
    </row>
    <row r="592" spans="1:2" x14ac:dyDescent="0.25">
      <c r="A592" s="8">
        <v>43921</v>
      </c>
      <c r="B592">
        <v>0.92689999999999995</v>
      </c>
    </row>
    <row r="593" spans="1:2" x14ac:dyDescent="0.25">
      <c r="A593" s="8">
        <v>43951</v>
      </c>
      <c r="B593">
        <v>1.0693999999999999</v>
      </c>
    </row>
    <row r="594" spans="1:2" x14ac:dyDescent="0.25">
      <c r="A594" s="8">
        <v>43980</v>
      </c>
      <c r="B594">
        <v>1.1432</v>
      </c>
    </row>
    <row r="595" spans="1:2" x14ac:dyDescent="0.25">
      <c r="A595" s="8">
        <v>44012</v>
      </c>
      <c r="B595">
        <v>1.3387</v>
      </c>
    </row>
    <row r="596" spans="1:2" x14ac:dyDescent="0.25">
      <c r="A596" s="8">
        <v>44043</v>
      </c>
      <c r="B596">
        <v>1.5545</v>
      </c>
    </row>
    <row r="597" spans="1:2" x14ac:dyDescent="0.25">
      <c r="A597" s="8">
        <v>44074</v>
      </c>
      <c r="B597">
        <v>1.8048999999999999</v>
      </c>
    </row>
    <row r="598" spans="1:2" x14ac:dyDescent="0.25">
      <c r="A598" s="8">
        <v>44104</v>
      </c>
      <c r="B598">
        <v>1.6327</v>
      </c>
    </row>
    <row r="599" spans="1:2" x14ac:dyDescent="0.25">
      <c r="A599" s="8">
        <v>44134</v>
      </c>
      <c r="B599">
        <v>1.7078</v>
      </c>
    </row>
    <row r="600" spans="1:2" x14ac:dyDescent="0.25">
      <c r="A600" s="8">
        <v>44165</v>
      </c>
      <c r="B600">
        <v>1.7899</v>
      </c>
    </row>
    <row r="601" spans="1:2" x14ac:dyDescent="0.25">
      <c r="A601" s="8">
        <v>44196</v>
      </c>
      <c r="B601">
        <v>1.9867999999999999</v>
      </c>
    </row>
    <row r="602" spans="1:2" x14ac:dyDescent="0.25">
      <c r="A602" s="8">
        <v>44225</v>
      </c>
      <c r="B602">
        <v>2.1019000000000001</v>
      </c>
    </row>
    <row r="603" spans="1:2" x14ac:dyDescent="0.25">
      <c r="A603" s="8">
        <v>44253</v>
      </c>
      <c r="B603">
        <v>2.1488999999999998</v>
      </c>
    </row>
    <row r="604" spans="1:2" x14ac:dyDescent="0.25">
      <c r="A604" s="8">
        <v>44286</v>
      </c>
      <c r="B604">
        <v>2.3740999999999999</v>
      </c>
    </row>
    <row r="605" spans="1:2" x14ac:dyDescent="0.25">
      <c r="A605" s="8">
        <v>44316</v>
      </c>
      <c r="B605">
        <v>2.4062999999999999</v>
      </c>
    </row>
    <row r="606" spans="1:2" x14ac:dyDescent="0.25">
      <c r="A606" s="8">
        <v>44347</v>
      </c>
      <c r="B606">
        <v>2.4481999999999999</v>
      </c>
    </row>
    <row r="607" spans="1:2" x14ac:dyDescent="0.25">
      <c r="A607" s="8">
        <v>44377</v>
      </c>
      <c r="B607">
        <v>2.3365</v>
      </c>
    </row>
    <row r="608" spans="1:2" x14ac:dyDescent="0.25">
      <c r="A608" s="8">
        <v>44407</v>
      </c>
      <c r="B608">
        <v>2.4003000000000001</v>
      </c>
    </row>
    <row r="609" spans="1:2" x14ac:dyDescent="0.25">
      <c r="A609" s="8">
        <v>44439</v>
      </c>
      <c r="B609">
        <v>2.3382999999999998</v>
      </c>
    </row>
    <row r="610" spans="1:2" x14ac:dyDescent="0.25">
      <c r="A610" s="8">
        <v>44469</v>
      </c>
      <c r="B610">
        <v>2.3761999999999999</v>
      </c>
    </row>
    <row r="611" spans="1:2" x14ac:dyDescent="0.25">
      <c r="A611" s="8">
        <v>44498</v>
      </c>
      <c r="B611">
        <v>2.5870000000000002</v>
      </c>
    </row>
    <row r="612" spans="1:2" x14ac:dyDescent="0.25">
      <c r="A612" s="8">
        <v>44530</v>
      </c>
      <c r="B612">
        <v>2.5131000000000001</v>
      </c>
    </row>
    <row r="613" spans="1:2" x14ac:dyDescent="0.25">
      <c r="A613" s="8">
        <v>44561</v>
      </c>
      <c r="B613">
        <v>2.5947</v>
      </c>
    </row>
    <row r="614" spans="1:2" x14ac:dyDescent="0.25">
      <c r="A614" s="8">
        <v>44592</v>
      </c>
      <c r="B614">
        <v>2.4864000000000002</v>
      </c>
    </row>
    <row r="615" spans="1:2" x14ac:dyDescent="0.25">
      <c r="A615" s="8">
        <v>44620</v>
      </c>
      <c r="B615">
        <v>2.6217999999999999</v>
      </c>
    </row>
    <row r="616" spans="1:2" x14ac:dyDescent="0.25">
      <c r="A616" s="8">
        <v>44651</v>
      </c>
      <c r="B616">
        <v>2.8288000000000002</v>
      </c>
    </row>
    <row r="617" spans="1:2" x14ac:dyDescent="0.25">
      <c r="A617" s="8">
        <v>44680</v>
      </c>
      <c r="B617">
        <v>2.9388000000000001</v>
      </c>
    </row>
    <row r="618" spans="1:2" x14ac:dyDescent="0.25">
      <c r="A618" s="8">
        <v>44712</v>
      </c>
      <c r="B618">
        <v>2.6524999999999999</v>
      </c>
    </row>
    <row r="619" spans="1:2" x14ac:dyDescent="0.25">
      <c r="A619" s="8">
        <v>44742</v>
      </c>
      <c r="B619">
        <v>2.3449</v>
      </c>
    </row>
    <row r="620" spans="1:2" x14ac:dyDescent="0.25">
      <c r="A620" s="8">
        <v>44771</v>
      </c>
      <c r="B620">
        <v>2.5526</v>
      </c>
    </row>
    <row r="621" spans="1:2" x14ac:dyDescent="0.25">
      <c r="A621" s="8">
        <v>44804</v>
      </c>
      <c r="B621">
        <v>2.4813000000000001</v>
      </c>
    </row>
    <row r="622" spans="1:2" x14ac:dyDescent="0.25">
      <c r="A622" s="8">
        <v>44834</v>
      </c>
      <c r="B622">
        <v>2.1545000000000001</v>
      </c>
    </row>
    <row r="623" spans="1:2" x14ac:dyDescent="0.25">
      <c r="A623" s="8">
        <v>44865</v>
      </c>
      <c r="B623">
        <v>2.5112000000000001</v>
      </c>
    </row>
    <row r="624" spans="1:2" x14ac:dyDescent="0.25">
      <c r="A624" s="8">
        <v>44895</v>
      </c>
      <c r="B624">
        <v>2.3683000000000001</v>
      </c>
    </row>
    <row r="625" spans="1:2" x14ac:dyDescent="0.25">
      <c r="A625" s="8">
        <v>44925</v>
      </c>
      <c r="B625">
        <v>2.2972000000000001</v>
      </c>
    </row>
    <row r="626" spans="1:2" x14ac:dyDescent="0.25">
      <c r="A626" s="8">
        <v>44957</v>
      </c>
      <c r="B626">
        <v>2.2456</v>
      </c>
    </row>
    <row r="627" spans="1:2" x14ac:dyDescent="0.25">
      <c r="A627" s="8">
        <v>44985</v>
      </c>
      <c r="B627">
        <v>2.3782999999999999</v>
      </c>
    </row>
    <row r="628" spans="1:2" x14ac:dyDescent="0.25">
      <c r="A628" s="8">
        <v>45016</v>
      </c>
      <c r="B628">
        <v>2.3220999999999998</v>
      </c>
    </row>
    <row r="629" spans="1:2" x14ac:dyDescent="0.25">
      <c r="A629" s="8">
        <v>45044</v>
      </c>
      <c r="B629">
        <v>2.2082999999999999</v>
      </c>
    </row>
    <row r="630" spans="1:2" x14ac:dyDescent="0.25">
      <c r="A630" s="8">
        <v>45077</v>
      </c>
      <c r="B630">
        <v>2.1768000000000001</v>
      </c>
    </row>
    <row r="631" spans="1:2" x14ac:dyDescent="0.25">
      <c r="A631" s="8">
        <v>45107</v>
      </c>
      <c r="B631">
        <v>2.2328999999999999</v>
      </c>
    </row>
    <row r="632" spans="1:2" x14ac:dyDescent="0.25">
      <c r="A632" s="8">
        <v>45138</v>
      </c>
      <c r="B632">
        <v>2.3734000000000002</v>
      </c>
    </row>
    <row r="633" spans="1:2" x14ac:dyDescent="0.25">
      <c r="A633" s="8">
        <v>45169</v>
      </c>
      <c r="B633">
        <v>2.2374999999999998</v>
      </c>
    </row>
    <row r="634" spans="1:2" x14ac:dyDescent="0.25">
      <c r="A634" s="8">
        <v>45198</v>
      </c>
      <c r="B634">
        <v>2.3407</v>
      </c>
    </row>
    <row r="635" spans="1:2" x14ac:dyDescent="0.25">
      <c r="A635" s="8">
        <v>45230</v>
      </c>
      <c r="B635">
        <v>2.4163999999999999</v>
      </c>
    </row>
    <row r="636" spans="1:2" x14ac:dyDescent="0.25">
      <c r="A636" s="8">
        <v>45260</v>
      </c>
      <c r="B636">
        <v>2.25</v>
      </c>
    </row>
    <row r="637" spans="1:2" x14ac:dyDescent="0.25">
      <c r="A637" s="8">
        <v>45289</v>
      </c>
      <c r="B637">
        <v>2.1732</v>
      </c>
    </row>
    <row r="638" spans="1:2" x14ac:dyDescent="0.25">
      <c r="A638" s="8">
        <v>45322</v>
      </c>
      <c r="B638">
        <v>2.2458999999999998</v>
      </c>
    </row>
    <row r="639" spans="1:2" x14ac:dyDescent="0.25">
      <c r="A639" s="8">
        <v>45351</v>
      </c>
      <c r="B639">
        <v>2.3231999999999999</v>
      </c>
    </row>
    <row r="640" spans="1:2" x14ac:dyDescent="0.25">
      <c r="A640" s="8">
        <v>45380</v>
      </c>
      <c r="B640">
        <v>2.3246000000000002</v>
      </c>
    </row>
    <row r="641" spans="1:2" x14ac:dyDescent="0.25">
      <c r="A641" s="8">
        <v>45412</v>
      </c>
      <c r="B641">
        <v>2.4043999999999999</v>
      </c>
    </row>
    <row r="642" spans="1:2" x14ac:dyDescent="0.25">
      <c r="A642" s="8">
        <v>45443</v>
      </c>
      <c r="B642">
        <v>2.3559999999999999</v>
      </c>
    </row>
    <row r="643" spans="1:2" x14ac:dyDescent="0.25">
      <c r="A643" s="8">
        <v>45471</v>
      </c>
      <c r="B643">
        <v>2.2919999999999998</v>
      </c>
    </row>
    <row r="644" spans="1:2" x14ac:dyDescent="0.25">
      <c r="A644" s="8">
        <v>45504</v>
      </c>
      <c r="B644">
        <v>2.2302</v>
      </c>
    </row>
    <row r="645" spans="1:2" x14ac:dyDescent="0.25">
      <c r="A645" s="8">
        <v>45534</v>
      </c>
      <c r="B645">
        <v>2.1520000000000001</v>
      </c>
    </row>
    <row r="646" spans="1:2" x14ac:dyDescent="0.25">
      <c r="A646" s="8">
        <v>45565</v>
      </c>
      <c r="B646">
        <v>2.1873</v>
      </c>
    </row>
    <row r="647" spans="1:2" x14ac:dyDescent="0.25">
      <c r="A647" s="8">
        <v>45596</v>
      </c>
      <c r="B647">
        <v>2.3275000000000001</v>
      </c>
    </row>
    <row r="648" spans="1:2" x14ac:dyDescent="0.25">
      <c r="A648" s="8">
        <v>45625</v>
      </c>
      <c r="B648">
        <v>2.2679</v>
      </c>
    </row>
    <row r="649" spans="1:2" x14ac:dyDescent="0.25">
      <c r="A649" s="8">
        <v>45657</v>
      </c>
      <c r="B649">
        <v>2.3388</v>
      </c>
    </row>
    <row r="650" spans="1:2" x14ac:dyDescent="0.25">
      <c r="A650" s="8">
        <v>45688</v>
      </c>
      <c r="B650">
        <v>2.4302000000000001</v>
      </c>
    </row>
    <row r="651" spans="1:2" x14ac:dyDescent="0.25">
      <c r="A651" s="8">
        <v>45716</v>
      </c>
      <c r="B651">
        <v>2.3677000000000001</v>
      </c>
    </row>
    <row r="652" spans="1:2" x14ac:dyDescent="0.25">
      <c r="A652" s="8">
        <v>45747</v>
      </c>
      <c r="B652">
        <v>2.3702999999999999</v>
      </c>
    </row>
    <row r="653" spans="1:2" x14ac:dyDescent="0.25">
      <c r="A653" s="8">
        <v>45777</v>
      </c>
      <c r="B653">
        <v>2.2395999999999998</v>
      </c>
    </row>
    <row r="654" spans="1:2" x14ac:dyDescent="0.25">
      <c r="A654" s="8">
        <v>45807</v>
      </c>
      <c r="B654">
        <v>2.3296999999999999</v>
      </c>
    </row>
    <row r="655" spans="1:2" x14ac:dyDescent="0.25">
      <c r="A655" s="8">
        <v>45838</v>
      </c>
      <c r="B655">
        <v>2.2839</v>
      </c>
    </row>
    <row r="656" spans="1:2" x14ac:dyDescent="0.25">
      <c r="A656" s="8">
        <v>45869</v>
      </c>
      <c r="B656">
        <v>2.3933</v>
      </c>
    </row>
    <row r="657" spans="1:2" x14ac:dyDescent="0.25">
      <c r="A657" s="8">
        <v>45898</v>
      </c>
      <c r="B657">
        <v>2.4121999999999999</v>
      </c>
    </row>
    <row r="658" spans="1:2" x14ac:dyDescent="0.25">
      <c r="A658" s="8">
        <v>45930</v>
      </c>
      <c r="B658">
        <v>2.3706999999999998</v>
      </c>
    </row>
    <row r="659" spans="1:2" x14ac:dyDescent="0.25">
      <c r="A659" s="8">
        <v>45961</v>
      </c>
      <c r="B659">
        <v>2.3161999999999998</v>
      </c>
    </row>
    <row r="660" spans="1:2" x14ac:dyDescent="0.25">
      <c r="A660" s="8">
        <v>45989</v>
      </c>
      <c r="B660">
        <v>2.2349000000000001</v>
      </c>
    </row>
    <row r="661" spans="1:2" x14ac:dyDescent="0.25">
      <c r="A661" s="8">
        <v>46022</v>
      </c>
      <c r="B661">
        <v>2.2458</v>
      </c>
    </row>
    <row r="662" spans="1:2" x14ac:dyDescent="0.25">
      <c r="A662" s="8">
        <v>46052</v>
      </c>
      <c r="B662">
        <v>2.3412999999999999</v>
      </c>
    </row>
    <row r="676" spans="1:4" x14ac:dyDescent="0.25">
      <c r="A676" s="6" t="s">
        <v>238</v>
      </c>
      <c r="B676" s="6" t="s">
        <v>239</v>
      </c>
      <c r="C676" s="6" t="s">
        <v>240</v>
      </c>
      <c r="D676" s="6" t="s">
        <v>54</v>
      </c>
    </row>
    <row r="677" spans="1:4" x14ac:dyDescent="0.25">
      <c r="A677" s="8">
        <f ca="1">_xll.BDH("USGGBE05 Index","PX_LAST","02/01/2016",TODAY(),"Per=M","cols=2;rows=121")</f>
        <v>42398</v>
      </c>
      <c r="B677">
        <v>1.1980999999999999</v>
      </c>
    </row>
    <row r="678" spans="1:4" x14ac:dyDescent="0.25">
      <c r="A678" s="8">
        <v>42429</v>
      </c>
      <c r="B678">
        <v>1.2627999999999999</v>
      </c>
    </row>
    <row r="679" spans="1:4" x14ac:dyDescent="0.25">
      <c r="A679" s="8">
        <v>42460</v>
      </c>
      <c r="B679">
        <v>1.5106999999999999</v>
      </c>
    </row>
    <row r="680" spans="1:4" x14ac:dyDescent="0.25">
      <c r="A680" s="8">
        <v>42489</v>
      </c>
      <c r="B680">
        <v>1.5984</v>
      </c>
    </row>
    <row r="681" spans="1:4" x14ac:dyDescent="0.25">
      <c r="A681" s="8">
        <v>42521</v>
      </c>
      <c r="B681">
        <v>1.4884999999999999</v>
      </c>
    </row>
    <row r="682" spans="1:4" x14ac:dyDescent="0.25">
      <c r="A682" s="8">
        <v>42551</v>
      </c>
      <c r="B682">
        <v>1.4005000000000001</v>
      </c>
    </row>
    <row r="683" spans="1:4" x14ac:dyDescent="0.25">
      <c r="A683" s="8">
        <v>42580</v>
      </c>
      <c r="B683">
        <v>1.3240000000000001</v>
      </c>
    </row>
    <row r="684" spans="1:4" x14ac:dyDescent="0.25">
      <c r="A684" s="8">
        <v>42613</v>
      </c>
      <c r="B684">
        <v>1.288</v>
      </c>
    </row>
    <row r="685" spans="1:4" x14ac:dyDescent="0.25">
      <c r="A685" s="8">
        <v>42643</v>
      </c>
      <c r="B685">
        <v>1.4891000000000001</v>
      </c>
    </row>
    <row r="686" spans="1:4" x14ac:dyDescent="0.25">
      <c r="A686" s="8">
        <v>42674</v>
      </c>
      <c r="B686">
        <v>1.6134999999999999</v>
      </c>
    </row>
    <row r="687" spans="1:4" x14ac:dyDescent="0.25">
      <c r="A687" s="8">
        <v>42704</v>
      </c>
      <c r="B687">
        <v>1.7968</v>
      </c>
    </row>
    <row r="688" spans="1:4" x14ac:dyDescent="0.25">
      <c r="A688" s="8">
        <v>42734</v>
      </c>
      <c r="B688">
        <v>1.8620000000000001</v>
      </c>
    </row>
    <row r="689" spans="1:2" x14ac:dyDescent="0.25">
      <c r="A689" s="8">
        <v>42766</v>
      </c>
      <c r="B689">
        <v>2.0339999999999998</v>
      </c>
    </row>
    <row r="690" spans="1:2" x14ac:dyDescent="0.25">
      <c r="A690" s="8">
        <v>42794</v>
      </c>
      <c r="B690">
        <v>2.0003000000000002</v>
      </c>
    </row>
    <row r="691" spans="1:2" x14ac:dyDescent="0.25">
      <c r="A691" s="8">
        <v>42825</v>
      </c>
      <c r="B691">
        <v>1.9512</v>
      </c>
    </row>
    <row r="692" spans="1:2" x14ac:dyDescent="0.25">
      <c r="A692" s="8">
        <v>42853</v>
      </c>
      <c r="B692">
        <v>1.8169</v>
      </c>
    </row>
    <row r="693" spans="1:2" x14ac:dyDescent="0.25">
      <c r="A693" s="8">
        <v>42886</v>
      </c>
      <c r="B693">
        <v>1.7599</v>
      </c>
    </row>
    <row r="694" spans="1:2" x14ac:dyDescent="0.25">
      <c r="A694" s="8">
        <v>42916</v>
      </c>
      <c r="B694">
        <v>1.6588000000000001</v>
      </c>
    </row>
    <row r="695" spans="1:2" x14ac:dyDescent="0.25">
      <c r="A695" s="8">
        <v>42947</v>
      </c>
      <c r="B695">
        <v>1.6997</v>
      </c>
    </row>
    <row r="696" spans="1:2" x14ac:dyDescent="0.25">
      <c r="A696" s="8">
        <v>42978</v>
      </c>
      <c r="B696">
        <v>1.6456</v>
      </c>
    </row>
    <row r="697" spans="1:2" x14ac:dyDescent="0.25">
      <c r="A697" s="8">
        <v>43007</v>
      </c>
      <c r="B697">
        <v>1.7768999999999999</v>
      </c>
    </row>
    <row r="698" spans="1:2" x14ac:dyDescent="0.25">
      <c r="A698" s="8">
        <v>43039</v>
      </c>
      <c r="B698">
        <v>1.8179000000000001</v>
      </c>
    </row>
    <row r="699" spans="1:2" x14ac:dyDescent="0.25">
      <c r="A699" s="8">
        <v>43069</v>
      </c>
      <c r="B699">
        <v>1.7745</v>
      </c>
    </row>
    <row r="700" spans="1:2" x14ac:dyDescent="0.25">
      <c r="A700" s="8">
        <v>43098</v>
      </c>
      <c r="B700">
        <v>1.8771</v>
      </c>
    </row>
    <row r="701" spans="1:2" x14ac:dyDescent="0.25">
      <c r="A701" s="8">
        <v>43131</v>
      </c>
      <c r="B701">
        <v>2.0051000000000001</v>
      </c>
    </row>
    <row r="702" spans="1:2" x14ac:dyDescent="0.25">
      <c r="A702" s="8">
        <v>43159</v>
      </c>
      <c r="B702">
        <v>2.0867</v>
      </c>
    </row>
    <row r="703" spans="1:2" x14ac:dyDescent="0.25">
      <c r="A703" s="8">
        <v>43189</v>
      </c>
      <c r="B703">
        <v>2.0413000000000001</v>
      </c>
    </row>
    <row r="704" spans="1:2" x14ac:dyDescent="0.25">
      <c r="A704" s="8">
        <v>43220</v>
      </c>
      <c r="B704">
        <v>2.1095999999999999</v>
      </c>
    </row>
    <row r="705" spans="1:2" x14ac:dyDescent="0.25">
      <c r="A705" s="8">
        <v>43251</v>
      </c>
      <c r="B705">
        <v>2.0547</v>
      </c>
    </row>
    <row r="706" spans="1:2" x14ac:dyDescent="0.25">
      <c r="A706" s="8">
        <v>43280</v>
      </c>
      <c r="B706">
        <v>2.0792000000000002</v>
      </c>
    </row>
    <row r="707" spans="1:2" x14ac:dyDescent="0.25">
      <c r="A707" s="8">
        <v>43312</v>
      </c>
      <c r="B707">
        <v>2.0028999999999999</v>
      </c>
    </row>
    <row r="708" spans="1:2" x14ac:dyDescent="0.25">
      <c r="A708" s="8">
        <v>43343</v>
      </c>
      <c r="B708">
        <v>1.9904999999999999</v>
      </c>
    </row>
    <row r="709" spans="1:2" x14ac:dyDescent="0.25">
      <c r="A709" s="8">
        <v>43371</v>
      </c>
      <c r="B709">
        <v>2.0348999999999999</v>
      </c>
    </row>
    <row r="710" spans="1:2" x14ac:dyDescent="0.25">
      <c r="A710" s="8">
        <v>43404</v>
      </c>
      <c r="B710">
        <v>1.9051</v>
      </c>
    </row>
    <row r="711" spans="1:2" x14ac:dyDescent="0.25">
      <c r="A711" s="8">
        <v>43434</v>
      </c>
      <c r="B711">
        <v>1.7681</v>
      </c>
    </row>
    <row r="712" spans="1:2" x14ac:dyDescent="0.25">
      <c r="A712" s="8">
        <v>43465</v>
      </c>
      <c r="B712">
        <v>1.4933000000000001</v>
      </c>
    </row>
    <row r="713" spans="1:2" x14ac:dyDescent="0.25">
      <c r="A713" s="8">
        <v>43496</v>
      </c>
      <c r="B713">
        <v>1.7265999999999999</v>
      </c>
    </row>
    <row r="714" spans="1:2" x14ac:dyDescent="0.25">
      <c r="A714" s="8">
        <v>43524</v>
      </c>
      <c r="B714">
        <v>1.8641000000000001</v>
      </c>
    </row>
    <row r="715" spans="1:2" x14ac:dyDescent="0.25">
      <c r="A715" s="8">
        <v>43553</v>
      </c>
      <c r="B715">
        <v>1.7907999999999999</v>
      </c>
    </row>
    <row r="716" spans="1:2" x14ac:dyDescent="0.25">
      <c r="A716" s="8">
        <v>43585</v>
      </c>
      <c r="B716">
        <v>1.8572</v>
      </c>
    </row>
    <row r="717" spans="1:2" x14ac:dyDescent="0.25">
      <c r="A717" s="8">
        <v>43616</v>
      </c>
      <c r="B717">
        <v>1.5874999999999999</v>
      </c>
    </row>
    <row r="718" spans="1:2" x14ac:dyDescent="0.25">
      <c r="A718" s="8">
        <v>43644</v>
      </c>
      <c r="B718">
        <v>1.5368999999999999</v>
      </c>
    </row>
    <row r="719" spans="1:2" x14ac:dyDescent="0.25">
      <c r="A719" s="8">
        <v>43677</v>
      </c>
      <c r="B719">
        <v>1.5479000000000001</v>
      </c>
    </row>
    <row r="720" spans="1:2" x14ac:dyDescent="0.25">
      <c r="A720" s="8">
        <v>43707</v>
      </c>
      <c r="B720">
        <v>1.3556999999999999</v>
      </c>
    </row>
    <row r="721" spans="1:2" x14ac:dyDescent="0.25">
      <c r="A721" s="8">
        <v>43738</v>
      </c>
      <c r="B721">
        <v>1.3472</v>
      </c>
    </row>
    <row r="722" spans="1:2" x14ac:dyDescent="0.25">
      <c r="A722" s="8">
        <v>43769</v>
      </c>
      <c r="B722">
        <v>1.4498</v>
      </c>
    </row>
    <row r="723" spans="1:2" x14ac:dyDescent="0.25">
      <c r="A723" s="8">
        <v>43798</v>
      </c>
      <c r="B723">
        <v>1.5273000000000001</v>
      </c>
    </row>
    <row r="724" spans="1:2" x14ac:dyDescent="0.25">
      <c r="A724" s="8">
        <v>43830</v>
      </c>
      <c r="B724">
        <v>1.6966000000000001</v>
      </c>
    </row>
    <row r="725" spans="1:2" x14ac:dyDescent="0.25">
      <c r="A725" s="8">
        <v>43861</v>
      </c>
      <c r="B725">
        <v>1.5976999999999999</v>
      </c>
    </row>
    <row r="726" spans="1:2" x14ac:dyDescent="0.25">
      <c r="A726" s="8">
        <v>43889</v>
      </c>
      <c r="B726">
        <v>1.3746</v>
      </c>
    </row>
    <row r="727" spans="1:2" x14ac:dyDescent="0.25">
      <c r="A727" s="8">
        <v>43921</v>
      </c>
      <c r="B727">
        <v>0.53259999999999996</v>
      </c>
    </row>
    <row r="728" spans="1:2" x14ac:dyDescent="0.25">
      <c r="A728" s="8">
        <v>43951</v>
      </c>
      <c r="B728">
        <v>0.70579999999999998</v>
      </c>
    </row>
    <row r="729" spans="1:2" x14ac:dyDescent="0.25">
      <c r="A729" s="8">
        <v>43980</v>
      </c>
      <c r="B729">
        <v>0.83879999999999999</v>
      </c>
    </row>
    <row r="730" spans="1:2" x14ac:dyDescent="0.25">
      <c r="A730" s="8">
        <v>44012</v>
      </c>
      <c r="B730">
        <v>1.1702999999999999</v>
      </c>
    </row>
    <row r="731" spans="1:2" x14ac:dyDescent="0.25">
      <c r="A731" s="8">
        <v>44043</v>
      </c>
      <c r="B731">
        <v>1.4262999999999999</v>
      </c>
    </row>
    <row r="732" spans="1:2" x14ac:dyDescent="0.25">
      <c r="A732" s="8">
        <v>44074</v>
      </c>
      <c r="B732">
        <v>1.6972</v>
      </c>
    </row>
    <row r="733" spans="1:2" x14ac:dyDescent="0.25">
      <c r="A733" s="8">
        <v>44104</v>
      </c>
      <c r="B733">
        <v>1.4933000000000001</v>
      </c>
    </row>
    <row r="734" spans="1:2" x14ac:dyDescent="0.25">
      <c r="A734" s="8">
        <v>44134</v>
      </c>
      <c r="B734">
        <v>1.5915999999999999</v>
      </c>
    </row>
    <row r="735" spans="1:2" x14ac:dyDescent="0.25">
      <c r="A735" s="8">
        <v>44165</v>
      </c>
      <c r="B735">
        <v>1.7009000000000001</v>
      </c>
    </row>
    <row r="736" spans="1:2" x14ac:dyDescent="0.25">
      <c r="A736" s="8">
        <v>44196</v>
      </c>
      <c r="B736">
        <v>1.9664999999999999</v>
      </c>
    </row>
    <row r="737" spans="1:2" x14ac:dyDescent="0.25">
      <c r="A737" s="8">
        <v>44225</v>
      </c>
      <c r="B737">
        <v>2.2191000000000001</v>
      </c>
    </row>
    <row r="738" spans="1:2" x14ac:dyDescent="0.25">
      <c r="A738" s="8">
        <v>44253</v>
      </c>
      <c r="B738">
        <v>2.4230999999999998</v>
      </c>
    </row>
    <row r="739" spans="1:2" x14ac:dyDescent="0.25">
      <c r="A739" s="8">
        <v>44286</v>
      </c>
      <c r="B739">
        <v>2.6015999999999999</v>
      </c>
    </row>
    <row r="740" spans="1:2" x14ac:dyDescent="0.25">
      <c r="A740" s="8">
        <v>44316</v>
      </c>
      <c r="B740">
        <v>2.5871</v>
      </c>
    </row>
    <row r="741" spans="1:2" x14ac:dyDescent="0.25">
      <c r="A741" s="8">
        <v>44347</v>
      </c>
      <c r="B741">
        <v>2.5954000000000002</v>
      </c>
    </row>
    <row r="742" spans="1:2" x14ac:dyDescent="0.25">
      <c r="A742" s="8">
        <v>44377</v>
      </c>
      <c r="B742">
        <v>2.4980000000000002</v>
      </c>
    </row>
    <row r="743" spans="1:2" x14ac:dyDescent="0.25">
      <c r="A743" s="8">
        <v>44407</v>
      </c>
      <c r="B743">
        <v>2.6219000000000001</v>
      </c>
    </row>
    <row r="744" spans="1:2" x14ac:dyDescent="0.25">
      <c r="A744" s="8">
        <v>44439</v>
      </c>
      <c r="B744">
        <v>2.5070000000000001</v>
      </c>
    </row>
    <row r="745" spans="1:2" x14ac:dyDescent="0.25">
      <c r="A745" s="8">
        <v>44469</v>
      </c>
      <c r="B745">
        <v>2.5329000000000002</v>
      </c>
    </row>
    <row r="746" spans="1:2" x14ac:dyDescent="0.25">
      <c r="A746" s="8">
        <v>44498</v>
      </c>
      <c r="B746">
        <v>2.9310999999999998</v>
      </c>
    </row>
    <row r="747" spans="1:2" x14ac:dyDescent="0.25">
      <c r="A747" s="8">
        <v>44530</v>
      </c>
      <c r="B747">
        <v>2.8086000000000002</v>
      </c>
    </row>
    <row r="748" spans="1:2" x14ac:dyDescent="0.25">
      <c r="A748" s="8">
        <v>44561</v>
      </c>
      <c r="B748">
        <v>2.9062999999999999</v>
      </c>
    </row>
    <row r="749" spans="1:2" x14ac:dyDescent="0.25">
      <c r="A749" s="8">
        <v>44592</v>
      </c>
      <c r="B749">
        <v>2.8879000000000001</v>
      </c>
    </row>
    <row r="750" spans="1:2" x14ac:dyDescent="0.25">
      <c r="A750" s="8">
        <v>44620</v>
      </c>
      <c r="B750">
        <v>3.1505000000000001</v>
      </c>
    </row>
    <row r="751" spans="1:2" x14ac:dyDescent="0.25">
      <c r="A751" s="8">
        <v>44651</v>
      </c>
      <c r="B751">
        <v>3.4251999999999998</v>
      </c>
    </row>
    <row r="752" spans="1:2" x14ac:dyDescent="0.25">
      <c r="A752" s="8">
        <v>44680</v>
      </c>
      <c r="B752">
        <v>3.3481000000000001</v>
      </c>
    </row>
    <row r="753" spans="1:2" x14ac:dyDescent="0.25">
      <c r="A753" s="8">
        <v>44712</v>
      </c>
      <c r="B753">
        <v>2.9571999999999998</v>
      </c>
    </row>
    <row r="754" spans="1:2" x14ac:dyDescent="0.25">
      <c r="A754" s="8">
        <v>44742</v>
      </c>
      <c r="B754">
        <v>2.6173000000000002</v>
      </c>
    </row>
    <row r="755" spans="1:2" x14ac:dyDescent="0.25">
      <c r="A755" s="8">
        <v>44771</v>
      </c>
      <c r="B755">
        <v>2.8068</v>
      </c>
    </row>
    <row r="756" spans="1:2" x14ac:dyDescent="0.25">
      <c r="A756" s="8">
        <v>44804</v>
      </c>
      <c r="B756">
        <v>2.6366999999999998</v>
      </c>
    </row>
    <row r="757" spans="1:2" x14ac:dyDescent="0.25">
      <c r="A757" s="8">
        <v>44834</v>
      </c>
      <c r="B757">
        <v>2.1602000000000001</v>
      </c>
    </row>
    <row r="758" spans="1:2" x14ac:dyDescent="0.25">
      <c r="A758" s="8">
        <v>44865</v>
      </c>
      <c r="B758">
        <v>2.6560999999999999</v>
      </c>
    </row>
    <row r="759" spans="1:2" x14ac:dyDescent="0.25">
      <c r="A759" s="8">
        <v>44895</v>
      </c>
      <c r="B759">
        <v>2.4765000000000001</v>
      </c>
    </row>
    <row r="760" spans="1:2" x14ac:dyDescent="0.25">
      <c r="A760" s="8">
        <v>44925</v>
      </c>
      <c r="B760">
        <v>2.3826999999999998</v>
      </c>
    </row>
    <row r="761" spans="1:2" x14ac:dyDescent="0.25">
      <c r="A761" s="8">
        <v>44957</v>
      </c>
      <c r="B761">
        <v>2.3275000000000001</v>
      </c>
    </row>
    <row r="762" spans="1:2" x14ac:dyDescent="0.25">
      <c r="A762" s="8">
        <v>44985</v>
      </c>
      <c r="B762">
        <v>2.5945999999999998</v>
      </c>
    </row>
    <row r="763" spans="1:2" x14ac:dyDescent="0.25">
      <c r="A763" s="8">
        <v>45016</v>
      </c>
      <c r="B763">
        <v>2.4761000000000002</v>
      </c>
    </row>
    <row r="764" spans="1:2" x14ac:dyDescent="0.25">
      <c r="A764" s="8">
        <v>45044</v>
      </c>
      <c r="B764">
        <v>2.2463000000000002</v>
      </c>
    </row>
    <row r="765" spans="1:2" x14ac:dyDescent="0.25">
      <c r="A765" s="8">
        <v>45077</v>
      </c>
      <c r="B765">
        <v>2.1002999999999998</v>
      </c>
    </row>
    <row r="766" spans="1:2" x14ac:dyDescent="0.25">
      <c r="A766" s="8">
        <v>45107</v>
      </c>
      <c r="B766">
        <v>2.1909999999999998</v>
      </c>
    </row>
    <row r="767" spans="1:2" x14ac:dyDescent="0.25">
      <c r="A767" s="8">
        <v>45138</v>
      </c>
      <c r="B767">
        <v>2.3065000000000002</v>
      </c>
    </row>
    <row r="768" spans="1:2" x14ac:dyDescent="0.25">
      <c r="A768" s="8">
        <v>45169</v>
      </c>
      <c r="B768">
        <v>2.1705000000000001</v>
      </c>
    </row>
    <row r="769" spans="1:2" x14ac:dyDescent="0.25">
      <c r="A769" s="8">
        <v>45198</v>
      </c>
      <c r="B769">
        <v>2.2496</v>
      </c>
    </row>
    <row r="770" spans="1:2" x14ac:dyDescent="0.25">
      <c r="A770" s="8">
        <v>45230</v>
      </c>
      <c r="B770">
        <v>2.3801000000000001</v>
      </c>
    </row>
    <row r="771" spans="1:2" x14ac:dyDescent="0.25">
      <c r="A771" s="8">
        <v>45260</v>
      </c>
      <c r="B771">
        <v>2.1726000000000001</v>
      </c>
    </row>
    <row r="772" spans="1:2" x14ac:dyDescent="0.25">
      <c r="A772" s="8">
        <v>45289</v>
      </c>
      <c r="B772">
        <v>2.1549</v>
      </c>
    </row>
    <row r="773" spans="1:2" x14ac:dyDescent="0.25">
      <c r="A773" s="8">
        <v>45322</v>
      </c>
      <c r="B773">
        <v>2.2599999999999998</v>
      </c>
    </row>
    <row r="774" spans="1:2" x14ac:dyDescent="0.25">
      <c r="A774" s="8">
        <v>45351</v>
      </c>
      <c r="B774">
        <v>2.4388999999999998</v>
      </c>
    </row>
    <row r="775" spans="1:2" x14ac:dyDescent="0.25">
      <c r="A775" s="8">
        <v>45380</v>
      </c>
      <c r="B775">
        <v>2.4405999999999999</v>
      </c>
    </row>
    <row r="776" spans="1:2" x14ac:dyDescent="0.25">
      <c r="A776" s="8">
        <v>45412</v>
      </c>
      <c r="B776">
        <v>2.4245999999999999</v>
      </c>
    </row>
    <row r="777" spans="1:2" x14ac:dyDescent="0.25">
      <c r="A777" s="8">
        <v>45443</v>
      </c>
      <c r="B777">
        <v>2.3563999999999998</v>
      </c>
    </row>
    <row r="778" spans="1:2" x14ac:dyDescent="0.25">
      <c r="A778" s="8">
        <v>45471</v>
      </c>
      <c r="B778">
        <v>2.2782</v>
      </c>
    </row>
    <row r="779" spans="1:2" x14ac:dyDescent="0.25">
      <c r="A779" s="8">
        <v>45504</v>
      </c>
      <c r="B779">
        <v>2.1383000000000001</v>
      </c>
    </row>
    <row r="780" spans="1:2" x14ac:dyDescent="0.25">
      <c r="A780" s="8">
        <v>45534</v>
      </c>
      <c r="B780">
        <v>2.0337999999999998</v>
      </c>
    </row>
    <row r="781" spans="1:2" x14ac:dyDescent="0.25">
      <c r="A781" s="8">
        <v>45565</v>
      </c>
      <c r="B781">
        <v>2.0855999999999999</v>
      </c>
    </row>
    <row r="782" spans="1:2" x14ac:dyDescent="0.25">
      <c r="A782" s="8">
        <v>45596</v>
      </c>
      <c r="B782">
        <v>2.3801999999999999</v>
      </c>
    </row>
    <row r="783" spans="1:2" x14ac:dyDescent="0.25">
      <c r="A783" s="8">
        <v>45625</v>
      </c>
      <c r="B783">
        <v>2.3466999999999998</v>
      </c>
    </row>
    <row r="784" spans="1:2" x14ac:dyDescent="0.25">
      <c r="A784" s="8">
        <v>45657</v>
      </c>
      <c r="B784">
        <v>2.3944000000000001</v>
      </c>
    </row>
    <row r="785" spans="1:2" x14ac:dyDescent="0.25">
      <c r="A785" s="8">
        <v>45688</v>
      </c>
      <c r="B785">
        <v>2.6013999999999999</v>
      </c>
    </row>
    <row r="786" spans="1:2" x14ac:dyDescent="0.25">
      <c r="A786" s="8">
        <v>45716</v>
      </c>
      <c r="B786">
        <v>2.6267999999999998</v>
      </c>
    </row>
    <row r="787" spans="1:2" x14ac:dyDescent="0.25">
      <c r="A787" s="8">
        <v>45747</v>
      </c>
      <c r="B787">
        <v>2.6299000000000001</v>
      </c>
    </row>
    <row r="788" spans="1:2" x14ac:dyDescent="0.25">
      <c r="A788" s="8">
        <v>45777</v>
      </c>
      <c r="B788">
        <v>2.3111000000000002</v>
      </c>
    </row>
    <row r="789" spans="1:2" x14ac:dyDescent="0.25">
      <c r="A789" s="8">
        <v>45807</v>
      </c>
      <c r="B789">
        <v>2.3923999999999999</v>
      </c>
    </row>
    <row r="790" spans="1:2" x14ac:dyDescent="0.25">
      <c r="A790" s="8">
        <v>45838</v>
      </c>
      <c r="B790">
        <v>2.3085</v>
      </c>
    </row>
    <row r="791" spans="1:2" x14ac:dyDescent="0.25">
      <c r="A791" s="8">
        <v>45869</v>
      </c>
      <c r="B791">
        <v>2.4847000000000001</v>
      </c>
    </row>
    <row r="792" spans="1:2" x14ac:dyDescent="0.25">
      <c r="A792" s="8">
        <v>45898</v>
      </c>
      <c r="B792">
        <v>2.5226999999999999</v>
      </c>
    </row>
    <row r="793" spans="1:2" x14ac:dyDescent="0.25">
      <c r="A793" s="8">
        <v>45930</v>
      </c>
      <c r="B793">
        <v>2.4517000000000002</v>
      </c>
    </row>
    <row r="794" spans="1:2" x14ac:dyDescent="0.25">
      <c r="A794" s="8">
        <v>45961</v>
      </c>
      <c r="B794">
        <v>2.411</v>
      </c>
    </row>
    <row r="795" spans="1:2" x14ac:dyDescent="0.25">
      <c r="A795" s="8">
        <v>45989</v>
      </c>
      <c r="B795">
        <v>2.319</v>
      </c>
    </row>
    <row r="796" spans="1:2" x14ac:dyDescent="0.25">
      <c r="A796" s="8">
        <v>46022</v>
      </c>
      <c r="B796">
        <v>2.2704</v>
      </c>
    </row>
    <row r="797" spans="1:2" x14ac:dyDescent="0.25">
      <c r="A797" s="8">
        <v>46052</v>
      </c>
      <c r="B797">
        <v>2.5638000000000001</v>
      </c>
    </row>
    <row r="811" spans="1:4" x14ac:dyDescent="0.25">
      <c r="A811" s="6" t="s">
        <v>241</v>
      </c>
      <c r="B811" s="6" t="s">
        <v>242</v>
      </c>
      <c r="C811" s="6" t="s">
        <v>243</v>
      </c>
      <c r="D811" s="6" t="s">
        <v>54</v>
      </c>
    </row>
    <row r="812" spans="1:4" x14ac:dyDescent="0.25">
      <c r="A812" s="8">
        <f ca="1">_xll.BDH("DEGGBE10 Index","PX_LAST","02/01/2016",TODAY(),"Per=M","cols=2;rows=121")</f>
        <v>42398</v>
      </c>
      <c r="B812">
        <v>0.93420000000000003</v>
      </c>
    </row>
    <row r="813" spans="1:4" x14ac:dyDescent="0.25">
      <c r="A813" s="8">
        <v>42429</v>
      </c>
      <c r="B813">
        <v>0.69530000000000003</v>
      </c>
    </row>
    <row r="814" spans="1:4" x14ac:dyDescent="0.25">
      <c r="A814" s="8">
        <v>42460</v>
      </c>
      <c r="B814">
        <v>0.94869999999999999</v>
      </c>
    </row>
    <row r="815" spans="1:4" x14ac:dyDescent="0.25">
      <c r="A815" s="8">
        <v>42489</v>
      </c>
      <c r="B815">
        <v>1.0893999999999999</v>
      </c>
    </row>
    <row r="816" spans="1:4" x14ac:dyDescent="0.25">
      <c r="A816" s="8">
        <v>42521</v>
      </c>
      <c r="B816">
        <v>0.96540000000000004</v>
      </c>
    </row>
    <row r="817" spans="1:2" x14ac:dyDescent="0.25">
      <c r="A817" s="8">
        <v>42551</v>
      </c>
      <c r="B817">
        <v>0.83</v>
      </c>
    </row>
    <row r="818" spans="1:2" x14ac:dyDescent="0.25">
      <c r="A818" s="8">
        <v>42580</v>
      </c>
      <c r="B818">
        <v>0.81720000000000004</v>
      </c>
    </row>
    <row r="819" spans="1:2" x14ac:dyDescent="0.25">
      <c r="A819" s="8">
        <v>42613</v>
      </c>
      <c r="B819">
        <v>0.83940000000000003</v>
      </c>
    </row>
    <row r="820" spans="1:2" x14ac:dyDescent="0.25">
      <c r="A820" s="8">
        <v>42643</v>
      </c>
      <c r="B820">
        <v>0.95750000000000002</v>
      </c>
    </row>
    <row r="821" spans="1:2" x14ac:dyDescent="0.25">
      <c r="A821" s="8">
        <v>42674</v>
      </c>
      <c r="B821">
        <v>1.0506</v>
      </c>
    </row>
    <row r="822" spans="1:2" x14ac:dyDescent="0.25">
      <c r="A822" s="8">
        <v>42704</v>
      </c>
      <c r="B822">
        <v>1.1173</v>
      </c>
    </row>
    <row r="823" spans="1:2" x14ac:dyDescent="0.25">
      <c r="A823" s="8">
        <v>42734</v>
      </c>
      <c r="B823">
        <v>1.2565999999999999</v>
      </c>
    </row>
    <row r="824" spans="1:2" x14ac:dyDescent="0.25">
      <c r="A824" s="8">
        <v>42766</v>
      </c>
      <c r="B824">
        <v>1.3534999999999999</v>
      </c>
    </row>
    <row r="825" spans="1:2" x14ac:dyDescent="0.25">
      <c r="A825" s="8">
        <v>42794</v>
      </c>
      <c r="B825">
        <v>1.1931</v>
      </c>
    </row>
    <row r="826" spans="1:2" x14ac:dyDescent="0.25">
      <c r="A826" s="8">
        <v>42825</v>
      </c>
      <c r="B826">
        <v>1.1524000000000001</v>
      </c>
    </row>
    <row r="827" spans="1:2" x14ac:dyDescent="0.25">
      <c r="A827" s="8">
        <v>42853</v>
      </c>
      <c r="B827">
        <v>1.1995</v>
      </c>
    </row>
    <row r="828" spans="1:2" x14ac:dyDescent="0.25">
      <c r="A828" s="8">
        <v>42886</v>
      </c>
      <c r="B828">
        <v>1.0601</v>
      </c>
    </row>
    <row r="829" spans="1:2" x14ac:dyDescent="0.25">
      <c r="A829" s="8">
        <v>42916</v>
      </c>
      <c r="B829">
        <v>1.0578000000000001</v>
      </c>
    </row>
    <row r="830" spans="1:2" x14ac:dyDescent="0.25">
      <c r="A830" s="8">
        <v>42947</v>
      </c>
      <c r="B830">
        <v>1.151</v>
      </c>
    </row>
    <row r="831" spans="1:2" x14ac:dyDescent="0.25">
      <c r="A831" s="8">
        <v>42978</v>
      </c>
      <c r="B831">
        <v>1.1483000000000001</v>
      </c>
    </row>
    <row r="832" spans="1:2" x14ac:dyDescent="0.25">
      <c r="A832" s="8">
        <v>43007</v>
      </c>
      <c r="B832">
        <v>1.2309000000000001</v>
      </c>
    </row>
    <row r="833" spans="1:2" x14ac:dyDescent="0.25">
      <c r="A833" s="8">
        <v>43039</v>
      </c>
      <c r="B833">
        <v>1.2204999999999999</v>
      </c>
    </row>
    <row r="834" spans="1:2" x14ac:dyDescent="0.25">
      <c r="A834" s="8">
        <v>43069</v>
      </c>
      <c r="B834">
        <v>1.2497</v>
      </c>
    </row>
    <row r="835" spans="1:2" x14ac:dyDescent="0.25">
      <c r="A835" s="8">
        <v>43098</v>
      </c>
      <c r="B835">
        <v>1.2964</v>
      </c>
    </row>
    <row r="836" spans="1:2" x14ac:dyDescent="0.25">
      <c r="A836" s="8">
        <v>43131</v>
      </c>
      <c r="B836">
        <v>1.3143</v>
      </c>
    </row>
    <row r="837" spans="1:2" x14ac:dyDescent="0.25">
      <c r="A837" s="8">
        <v>43159</v>
      </c>
      <c r="B837">
        <v>1.2939000000000001</v>
      </c>
    </row>
    <row r="838" spans="1:2" x14ac:dyDescent="0.25">
      <c r="A838" s="8">
        <v>43189</v>
      </c>
      <c r="B838">
        <v>1.3655999999999999</v>
      </c>
    </row>
    <row r="839" spans="1:2" x14ac:dyDescent="0.25">
      <c r="A839" s="8">
        <v>43220</v>
      </c>
      <c r="B839">
        <v>1.4001999999999999</v>
      </c>
    </row>
    <row r="840" spans="1:2" x14ac:dyDescent="0.25">
      <c r="A840" s="8">
        <v>43251</v>
      </c>
      <c r="B840">
        <v>1.3419000000000001</v>
      </c>
    </row>
    <row r="841" spans="1:2" x14ac:dyDescent="0.25">
      <c r="A841" s="8">
        <v>43280</v>
      </c>
      <c r="B841">
        <v>1.3580000000000001</v>
      </c>
    </row>
    <row r="842" spans="1:2" x14ac:dyDescent="0.25">
      <c r="A842" s="8">
        <v>43312</v>
      </c>
      <c r="B842">
        <v>1.3015000000000001</v>
      </c>
    </row>
    <row r="843" spans="1:2" x14ac:dyDescent="0.25">
      <c r="A843" s="8">
        <v>43343</v>
      </c>
      <c r="B843">
        <v>1.2898000000000001</v>
      </c>
    </row>
    <row r="844" spans="1:2" x14ac:dyDescent="0.25">
      <c r="A844" s="8">
        <v>43371</v>
      </c>
      <c r="B844">
        <v>1.3485</v>
      </c>
    </row>
    <row r="845" spans="1:2" x14ac:dyDescent="0.25">
      <c r="A845" s="8">
        <v>43404</v>
      </c>
      <c r="B845">
        <v>1.3152999999999999</v>
      </c>
    </row>
    <row r="846" spans="1:2" x14ac:dyDescent="0.25">
      <c r="A846" s="8">
        <v>43434</v>
      </c>
      <c r="B846">
        <v>1.1366000000000001</v>
      </c>
    </row>
    <row r="847" spans="1:2" x14ac:dyDescent="0.25">
      <c r="A847" s="8">
        <v>43465</v>
      </c>
      <c r="B847">
        <v>0.95799999999999996</v>
      </c>
    </row>
    <row r="848" spans="1:2" x14ac:dyDescent="0.25">
      <c r="A848" s="8">
        <v>43496</v>
      </c>
      <c r="B848">
        <v>0.96099999999999997</v>
      </c>
    </row>
    <row r="849" spans="1:2" x14ac:dyDescent="0.25">
      <c r="A849" s="8">
        <v>43524</v>
      </c>
      <c r="B849">
        <v>0.9345</v>
      </c>
    </row>
    <row r="850" spans="1:2" x14ac:dyDescent="0.25">
      <c r="A850" s="8">
        <v>43553</v>
      </c>
      <c r="B850">
        <v>1.0293000000000001</v>
      </c>
    </row>
    <row r="851" spans="1:2" x14ac:dyDescent="0.25">
      <c r="A851" s="8">
        <v>43585</v>
      </c>
      <c r="B851">
        <v>1.0707</v>
      </c>
    </row>
    <row r="852" spans="1:2" x14ac:dyDescent="0.25">
      <c r="A852" s="8">
        <v>43616</v>
      </c>
      <c r="B852">
        <v>0.8427</v>
      </c>
    </row>
    <row r="853" spans="1:2" x14ac:dyDescent="0.25">
      <c r="A853" s="8">
        <v>43644</v>
      </c>
      <c r="B853">
        <v>0.71889999999999998</v>
      </c>
    </row>
    <row r="854" spans="1:2" x14ac:dyDescent="0.25">
      <c r="A854" s="8">
        <v>43677</v>
      </c>
      <c r="B854">
        <v>0.93120000000000003</v>
      </c>
    </row>
    <row r="855" spans="1:2" x14ac:dyDescent="0.25">
      <c r="A855" s="8">
        <v>43707</v>
      </c>
      <c r="B855">
        <v>0.80820000000000003</v>
      </c>
    </row>
    <row r="856" spans="1:2" x14ac:dyDescent="0.25">
      <c r="A856" s="8">
        <v>43738</v>
      </c>
      <c r="B856">
        <v>0.82940000000000003</v>
      </c>
    </row>
    <row r="857" spans="1:2" x14ac:dyDescent="0.25">
      <c r="A857" s="8">
        <v>43769</v>
      </c>
      <c r="B857">
        <v>0.87409999999999999</v>
      </c>
    </row>
    <row r="858" spans="1:2" x14ac:dyDescent="0.25">
      <c r="A858" s="8">
        <v>43798</v>
      </c>
      <c r="B858">
        <v>0.90110000000000001</v>
      </c>
    </row>
    <row r="859" spans="1:2" x14ac:dyDescent="0.25">
      <c r="A859" s="8">
        <v>43830</v>
      </c>
      <c r="B859">
        <v>0.98619999999999997</v>
      </c>
    </row>
    <row r="860" spans="1:2" x14ac:dyDescent="0.25">
      <c r="A860" s="8">
        <v>43861</v>
      </c>
      <c r="B860">
        <v>0.98729999999999996</v>
      </c>
    </row>
    <row r="861" spans="1:2" x14ac:dyDescent="0.25">
      <c r="A861" s="8">
        <v>43889</v>
      </c>
      <c r="B861">
        <v>0.80959999999999999</v>
      </c>
    </row>
    <row r="862" spans="1:2" x14ac:dyDescent="0.25">
      <c r="A862" s="8">
        <v>43921</v>
      </c>
      <c r="B862">
        <v>0.4753</v>
      </c>
    </row>
    <row r="863" spans="1:2" x14ac:dyDescent="0.25">
      <c r="A863" s="8">
        <v>43951</v>
      </c>
      <c r="B863">
        <v>0.52070000000000005</v>
      </c>
    </row>
    <row r="864" spans="1:2" x14ac:dyDescent="0.25">
      <c r="A864" s="8">
        <v>43980</v>
      </c>
      <c r="B864">
        <v>0.55159999999999998</v>
      </c>
    </row>
    <row r="865" spans="1:2" x14ac:dyDescent="0.25">
      <c r="A865" s="8">
        <v>44012</v>
      </c>
      <c r="B865">
        <v>0.65480000000000005</v>
      </c>
    </row>
    <row r="866" spans="1:2" x14ac:dyDescent="0.25">
      <c r="A866" s="8">
        <v>44043</v>
      </c>
      <c r="B866">
        <v>0.78300000000000003</v>
      </c>
    </row>
    <row r="867" spans="1:2" x14ac:dyDescent="0.25">
      <c r="A867" s="8">
        <v>44074</v>
      </c>
      <c r="B867">
        <v>0.80489999999999995</v>
      </c>
    </row>
    <row r="868" spans="1:2" x14ac:dyDescent="0.25">
      <c r="A868" s="8">
        <v>44104</v>
      </c>
      <c r="B868">
        <v>0.66439999999999999</v>
      </c>
    </row>
    <row r="869" spans="1:2" x14ac:dyDescent="0.25">
      <c r="A869" s="8">
        <v>44134</v>
      </c>
      <c r="B869">
        <v>0.70309999999999995</v>
      </c>
    </row>
    <row r="870" spans="1:2" x14ac:dyDescent="0.25">
      <c r="A870" s="8">
        <v>44165</v>
      </c>
      <c r="B870">
        <v>0.87729999999999997</v>
      </c>
    </row>
    <row r="871" spans="1:2" x14ac:dyDescent="0.25">
      <c r="A871" s="8">
        <v>44196</v>
      </c>
      <c r="B871">
        <v>0.91049999999999998</v>
      </c>
    </row>
    <row r="872" spans="1:2" x14ac:dyDescent="0.25">
      <c r="A872" s="8">
        <v>44225</v>
      </c>
      <c r="B872">
        <v>1.0499000000000001</v>
      </c>
    </row>
    <row r="873" spans="1:2" x14ac:dyDescent="0.25">
      <c r="A873" s="8">
        <v>44253</v>
      </c>
      <c r="B873">
        <v>1.0679000000000001</v>
      </c>
    </row>
    <row r="874" spans="1:2" x14ac:dyDescent="0.25">
      <c r="A874" s="8">
        <v>44286</v>
      </c>
      <c r="B874">
        <v>1.3219000000000001</v>
      </c>
    </row>
    <row r="875" spans="1:2" x14ac:dyDescent="0.25">
      <c r="A875" s="8">
        <v>44316</v>
      </c>
      <c r="B875">
        <v>1.3579000000000001</v>
      </c>
    </row>
    <row r="876" spans="1:2" x14ac:dyDescent="0.25">
      <c r="A876" s="8">
        <v>44347</v>
      </c>
      <c r="B876">
        <v>1.3912</v>
      </c>
    </row>
    <row r="877" spans="1:2" x14ac:dyDescent="0.25">
      <c r="A877" s="8">
        <v>44377</v>
      </c>
      <c r="B877">
        <v>1.3320000000000001</v>
      </c>
    </row>
    <row r="878" spans="1:2" x14ac:dyDescent="0.25">
      <c r="A878" s="8">
        <v>44407</v>
      </c>
      <c r="B878">
        <v>1.4253</v>
      </c>
    </row>
    <row r="879" spans="1:2" x14ac:dyDescent="0.25">
      <c r="A879" s="8">
        <v>44439</v>
      </c>
      <c r="B879">
        <v>1.464</v>
      </c>
    </row>
    <row r="880" spans="1:2" x14ac:dyDescent="0.25">
      <c r="A880" s="8">
        <v>44469</v>
      </c>
      <c r="B880">
        <v>1.679</v>
      </c>
    </row>
    <row r="881" spans="1:2" x14ac:dyDescent="0.25">
      <c r="A881" s="8">
        <v>44498</v>
      </c>
      <c r="B881">
        <v>1.7430000000000001</v>
      </c>
    </row>
    <row r="882" spans="1:2" x14ac:dyDescent="0.25">
      <c r="A882" s="8">
        <v>44530</v>
      </c>
      <c r="B882">
        <v>1.6984999999999999</v>
      </c>
    </row>
    <row r="883" spans="1:2" x14ac:dyDescent="0.25">
      <c r="A883" s="8">
        <v>44561</v>
      </c>
      <c r="B883">
        <v>1.8057000000000001</v>
      </c>
    </row>
    <row r="884" spans="1:2" x14ac:dyDescent="0.25">
      <c r="A884" s="8">
        <v>44592</v>
      </c>
      <c r="B884">
        <v>1.8429</v>
      </c>
    </row>
    <row r="885" spans="1:2" x14ac:dyDescent="0.25">
      <c r="A885" s="8">
        <v>44620</v>
      </c>
      <c r="B885">
        <v>2.0939999999999999</v>
      </c>
    </row>
    <row r="886" spans="1:2" x14ac:dyDescent="0.25">
      <c r="A886" s="8">
        <v>44651</v>
      </c>
      <c r="B886">
        <v>2.6354000000000002</v>
      </c>
    </row>
    <row r="887" spans="1:2" x14ac:dyDescent="0.25">
      <c r="A887" s="8">
        <v>44680</v>
      </c>
      <c r="B887">
        <v>2.9771000000000001</v>
      </c>
    </row>
    <row r="888" spans="1:2" x14ac:dyDescent="0.25">
      <c r="A888" s="8">
        <v>44712</v>
      </c>
      <c r="B888">
        <v>2.2658</v>
      </c>
    </row>
    <row r="889" spans="1:2" x14ac:dyDescent="0.25">
      <c r="A889" s="8">
        <v>44742</v>
      </c>
      <c r="B889">
        <v>2.0261999999999998</v>
      </c>
    </row>
    <row r="890" spans="1:2" x14ac:dyDescent="0.25">
      <c r="A890" s="8">
        <v>44771</v>
      </c>
      <c r="B890">
        <v>2.1473</v>
      </c>
    </row>
    <row r="891" spans="1:2" x14ac:dyDescent="0.25">
      <c r="A891" s="8">
        <v>44804</v>
      </c>
      <c r="B891">
        <v>2.3153000000000001</v>
      </c>
    </row>
    <row r="892" spans="1:2" x14ac:dyDescent="0.25">
      <c r="A892" s="8">
        <v>44834</v>
      </c>
      <c r="B892">
        <v>2.0855999999999999</v>
      </c>
    </row>
    <row r="893" spans="1:2" x14ac:dyDescent="0.25">
      <c r="A893" s="8">
        <v>44865</v>
      </c>
      <c r="B893">
        <v>2.3601000000000001</v>
      </c>
    </row>
    <row r="894" spans="1:2" x14ac:dyDescent="0.25">
      <c r="A894" s="8">
        <v>44895</v>
      </c>
      <c r="B894">
        <v>2.2938999999999998</v>
      </c>
    </row>
    <row r="895" spans="1:2" x14ac:dyDescent="0.25">
      <c r="A895" s="8">
        <v>44925</v>
      </c>
      <c r="B895">
        <v>2.2726000000000002</v>
      </c>
    </row>
    <row r="896" spans="1:2" x14ac:dyDescent="0.25">
      <c r="A896" s="8">
        <v>44957</v>
      </c>
      <c r="B896">
        <v>2.1421999999999999</v>
      </c>
    </row>
    <row r="897" spans="1:2" x14ac:dyDescent="0.25">
      <c r="A897" s="8">
        <v>44985</v>
      </c>
      <c r="B897">
        <v>2.5072000000000001</v>
      </c>
    </row>
    <row r="898" spans="1:2" x14ac:dyDescent="0.25">
      <c r="A898" s="8">
        <v>45016</v>
      </c>
      <c r="B898">
        <v>2.3588</v>
      </c>
    </row>
    <row r="899" spans="1:2" x14ac:dyDescent="0.25">
      <c r="A899" s="8">
        <v>45044</v>
      </c>
      <c r="B899">
        <v>2.3448000000000002</v>
      </c>
    </row>
    <row r="900" spans="1:2" x14ac:dyDescent="0.25">
      <c r="A900" s="8">
        <v>45077</v>
      </c>
      <c r="B900">
        <v>2.3163</v>
      </c>
    </row>
    <row r="901" spans="1:2" x14ac:dyDescent="0.25">
      <c r="A901" s="8">
        <v>45107</v>
      </c>
      <c r="B901">
        <v>2.2921999999999998</v>
      </c>
    </row>
    <row r="902" spans="1:2" x14ac:dyDescent="0.25">
      <c r="A902" s="8">
        <v>45138</v>
      </c>
      <c r="B902">
        <v>2.4003000000000001</v>
      </c>
    </row>
    <row r="903" spans="1:2" x14ac:dyDescent="0.25">
      <c r="A903" s="8">
        <v>45169</v>
      </c>
      <c r="B903">
        <v>2.2942999999999998</v>
      </c>
    </row>
    <row r="904" spans="1:2" x14ac:dyDescent="0.25">
      <c r="A904" s="8">
        <v>45198</v>
      </c>
      <c r="B904">
        <v>2.3334999999999999</v>
      </c>
    </row>
    <row r="905" spans="1:2" x14ac:dyDescent="0.25">
      <c r="A905" s="8">
        <v>45230</v>
      </c>
      <c r="B905">
        <v>2.2462</v>
      </c>
    </row>
    <row r="906" spans="1:2" x14ac:dyDescent="0.25">
      <c r="A906" s="8">
        <v>45260</v>
      </c>
      <c r="B906">
        <v>2.1393</v>
      </c>
    </row>
    <row r="907" spans="1:2" x14ac:dyDescent="0.25">
      <c r="A907" s="8">
        <v>45289</v>
      </c>
      <c r="B907">
        <v>1.9509000000000001</v>
      </c>
    </row>
    <row r="908" spans="1:2" x14ac:dyDescent="0.25">
      <c r="A908" s="8">
        <v>45322</v>
      </c>
      <c r="B908">
        <v>1.9281999999999999</v>
      </c>
    </row>
    <row r="909" spans="1:2" x14ac:dyDescent="0.25">
      <c r="A909" s="8">
        <v>45351</v>
      </c>
      <c r="B909">
        <v>2.0283000000000002</v>
      </c>
    </row>
    <row r="910" spans="1:2" x14ac:dyDescent="0.25">
      <c r="A910" s="8">
        <v>45380</v>
      </c>
      <c r="B910">
        <v>2.0594000000000001</v>
      </c>
    </row>
    <row r="911" spans="1:2" x14ac:dyDescent="0.25">
      <c r="A911" s="8">
        <v>45412</v>
      </c>
      <c r="B911">
        <v>2.1515</v>
      </c>
    </row>
    <row r="912" spans="1:2" x14ac:dyDescent="0.25">
      <c r="A912" s="8">
        <v>45443</v>
      </c>
      <c r="B912">
        <v>2.1030000000000002</v>
      </c>
    </row>
    <row r="913" spans="1:2" x14ac:dyDescent="0.25">
      <c r="A913" s="8">
        <v>45471</v>
      </c>
      <c r="B913">
        <v>2.0047999999999999</v>
      </c>
    </row>
    <row r="914" spans="1:2" x14ac:dyDescent="0.25">
      <c r="A914" s="8">
        <v>45504</v>
      </c>
      <c r="B914">
        <v>1.8995</v>
      </c>
    </row>
    <row r="915" spans="1:2" x14ac:dyDescent="0.25">
      <c r="A915" s="8">
        <v>45534</v>
      </c>
      <c r="B915">
        <v>1.7743</v>
      </c>
    </row>
    <row r="916" spans="1:2" x14ac:dyDescent="0.25">
      <c r="A916" s="8">
        <v>45565</v>
      </c>
      <c r="B916">
        <v>1.7401</v>
      </c>
    </row>
    <row r="917" spans="1:2" x14ac:dyDescent="0.25">
      <c r="A917" s="8">
        <v>45596</v>
      </c>
      <c r="B917">
        <v>1.8321000000000001</v>
      </c>
    </row>
    <row r="918" spans="1:2" x14ac:dyDescent="0.25">
      <c r="A918" s="8">
        <v>45625</v>
      </c>
      <c r="B918">
        <v>1.7847999999999999</v>
      </c>
    </row>
    <row r="919" spans="1:2" x14ac:dyDescent="0.25">
      <c r="A919" s="8">
        <v>45657</v>
      </c>
      <c r="B919">
        <v>1.7737000000000001</v>
      </c>
    </row>
    <row r="920" spans="1:2" x14ac:dyDescent="0.25">
      <c r="A920" s="8">
        <v>45688</v>
      </c>
      <c r="B920">
        <v>1.8854</v>
      </c>
    </row>
    <row r="921" spans="1:2" x14ac:dyDescent="0.25">
      <c r="A921" s="8">
        <v>45716</v>
      </c>
      <c r="B921">
        <v>1.786</v>
      </c>
    </row>
    <row r="922" spans="1:2" x14ac:dyDescent="0.25">
      <c r="A922" s="8">
        <v>45747</v>
      </c>
      <c r="B922">
        <v>1.9476</v>
      </c>
    </row>
    <row r="923" spans="1:2" x14ac:dyDescent="0.25">
      <c r="A923" s="8">
        <v>45777</v>
      </c>
      <c r="B923">
        <v>1.758</v>
      </c>
    </row>
    <row r="924" spans="1:2" x14ac:dyDescent="0.25">
      <c r="A924" s="8">
        <v>45807</v>
      </c>
      <c r="B924">
        <v>1.6877</v>
      </c>
    </row>
    <row r="925" spans="1:2" x14ac:dyDescent="0.25">
      <c r="A925" s="8">
        <v>45838</v>
      </c>
      <c r="B925">
        <v>1.7376</v>
      </c>
    </row>
    <row r="926" spans="1:2" x14ac:dyDescent="0.25">
      <c r="A926" s="8">
        <v>45869</v>
      </c>
      <c r="B926">
        <v>1.7976000000000001</v>
      </c>
    </row>
    <row r="927" spans="1:2" x14ac:dyDescent="0.25">
      <c r="A927" s="8">
        <v>45898</v>
      </c>
      <c r="B927">
        <v>1.7327999999999999</v>
      </c>
    </row>
    <row r="928" spans="1:2" x14ac:dyDescent="0.25">
      <c r="A928" s="8">
        <v>45930</v>
      </c>
      <c r="B928">
        <v>1.742</v>
      </c>
    </row>
    <row r="929" spans="1:2" x14ac:dyDescent="0.25">
      <c r="A929" s="8">
        <v>45961</v>
      </c>
      <c r="B929">
        <v>1.7582</v>
      </c>
    </row>
    <row r="930" spans="1:2" x14ac:dyDescent="0.25">
      <c r="A930" s="8">
        <v>45989</v>
      </c>
      <c r="B930">
        <v>1.7638</v>
      </c>
    </row>
    <row r="931" spans="1:2" x14ac:dyDescent="0.25">
      <c r="A931" s="8">
        <v>46022</v>
      </c>
      <c r="B931">
        <v>1.7484</v>
      </c>
    </row>
    <row r="932" spans="1:2" x14ac:dyDescent="0.25">
      <c r="A932" s="8">
        <v>46052</v>
      </c>
      <c r="B932">
        <v>1.8906000000000001</v>
      </c>
    </row>
    <row r="946" spans="1:4" x14ac:dyDescent="0.25">
      <c r="A946" s="6" t="s">
        <v>244</v>
      </c>
      <c r="B946" s="6" t="s">
        <v>245</v>
      </c>
      <c r="C946" s="6" t="s">
        <v>246</v>
      </c>
      <c r="D946" s="6" t="s">
        <v>54</v>
      </c>
    </row>
    <row r="947" spans="1:4" x14ac:dyDescent="0.25">
      <c r="A947" s="8">
        <f ca="1">_xll.BDH("UKGGBE10 Index","PX_LAST","02/01/2016",TODAY(),"Per=M","cols=2;rows=121")</f>
        <v>42398</v>
      </c>
      <c r="B947">
        <v>2.4049999999999998</v>
      </c>
    </row>
    <row r="948" spans="1:4" x14ac:dyDescent="0.25">
      <c r="A948" s="8">
        <v>42429</v>
      </c>
      <c r="B948">
        <v>2.137</v>
      </c>
    </row>
    <row r="949" spans="1:4" x14ac:dyDescent="0.25">
      <c r="A949" s="8">
        <v>42460</v>
      </c>
      <c r="B949">
        <v>2.3220000000000001</v>
      </c>
    </row>
    <row r="950" spans="1:4" x14ac:dyDescent="0.25">
      <c r="A950" s="8">
        <v>42489</v>
      </c>
      <c r="B950">
        <v>2.3359999999999999</v>
      </c>
    </row>
    <row r="951" spans="1:4" x14ac:dyDescent="0.25">
      <c r="A951" s="8">
        <v>42521</v>
      </c>
      <c r="B951">
        <v>2.3439999999999999</v>
      </c>
    </row>
    <row r="952" spans="1:4" x14ac:dyDescent="0.25">
      <c r="A952" s="8">
        <v>42551</v>
      </c>
      <c r="B952">
        <v>2.3740000000000001</v>
      </c>
    </row>
    <row r="953" spans="1:4" x14ac:dyDescent="0.25">
      <c r="A953" s="8">
        <v>42580</v>
      </c>
      <c r="B953">
        <v>2.3260000000000001</v>
      </c>
    </row>
    <row r="954" spans="1:4" x14ac:dyDescent="0.25">
      <c r="A954" s="8">
        <v>42613</v>
      </c>
      <c r="B954">
        <v>2.605</v>
      </c>
    </row>
    <row r="955" spans="1:4" x14ac:dyDescent="0.25">
      <c r="A955" s="8">
        <v>42643</v>
      </c>
      <c r="B955">
        <v>2.6859999999999999</v>
      </c>
    </row>
    <row r="956" spans="1:4" x14ac:dyDescent="0.25">
      <c r="A956" s="8">
        <v>42674</v>
      </c>
      <c r="B956">
        <v>3.0960000000000001</v>
      </c>
    </row>
    <row r="957" spans="1:4" x14ac:dyDescent="0.25">
      <c r="A957" s="8">
        <v>42704</v>
      </c>
      <c r="B957">
        <v>2.9769999999999999</v>
      </c>
    </row>
    <row r="958" spans="1:4" x14ac:dyDescent="0.25">
      <c r="A958" s="8">
        <v>42734</v>
      </c>
      <c r="B958">
        <v>3.0190000000000001</v>
      </c>
    </row>
    <row r="959" spans="1:4" x14ac:dyDescent="0.25">
      <c r="A959" s="8">
        <v>42766</v>
      </c>
      <c r="B959">
        <v>3.4119999999999999</v>
      </c>
    </row>
    <row r="960" spans="1:4" x14ac:dyDescent="0.25">
      <c r="A960" s="8">
        <v>42794</v>
      </c>
      <c r="B960">
        <v>3.0990000000000002</v>
      </c>
    </row>
    <row r="961" spans="1:2" x14ac:dyDescent="0.25">
      <c r="A961" s="8">
        <v>42825</v>
      </c>
      <c r="B961">
        <v>3.1680000000000001</v>
      </c>
    </row>
    <row r="962" spans="1:2" x14ac:dyDescent="0.25">
      <c r="A962" s="8">
        <v>42853</v>
      </c>
      <c r="B962">
        <v>3.1230000000000002</v>
      </c>
    </row>
    <row r="963" spans="1:2" x14ac:dyDescent="0.25">
      <c r="A963" s="8">
        <v>42886</v>
      </c>
      <c r="B963">
        <v>3.0430000000000001</v>
      </c>
    </row>
    <row r="964" spans="1:2" x14ac:dyDescent="0.25">
      <c r="A964" s="8">
        <v>42916</v>
      </c>
      <c r="B964">
        <v>3.0550000000000002</v>
      </c>
    </row>
    <row r="965" spans="1:2" x14ac:dyDescent="0.25">
      <c r="A965" s="8">
        <v>42947</v>
      </c>
      <c r="B965">
        <v>2.992</v>
      </c>
    </row>
    <row r="966" spans="1:2" x14ac:dyDescent="0.25">
      <c r="A966" s="8">
        <v>42978</v>
      </c>
      <c r="B966">
        <v>3.0449999999999999</v>
      </c>
    </row>
    <row r="967" spans="1:2" x14ac:dyDescent="0.25">
      <c r="A967" s="8">
        <v>43007</v>
      </c>
      <c r="B967">
        <v>3.105</v>
      </c>
    </row>
    <row r="968" spans="1:2" x14ac:dyDescent="0.25">
      <c r="A968" s="8">
        <v>43039</v>
      </c>
      <c r="B968">
        <v>3.0859999999999999</v>
      </c>
    </row>
    <row r="969" spans="1:2" x14ac:dyDescent="0.25">
      <c r="A969" s="8">
        <v>43069</v>
      </c>
      <c r="B969">
        <v>3.0710000000000002</v>
      </c>
    </row>
    <row r="970" spans="1:2" x14ac:dyDescent="0.25">
      <c r="A970" s="8">
        <v>43098</v>
      </c>
      <c r="B970">
        <v>3.0590000000000002</v>
      </c>
    </row>
    <row r="971" spans="1:2" x14ac:dyDescent="0.25">
      <c r="A971" s="8">
        <v>43131</v>
      </c>
      <c r="B971">
        <v>3.133</v>
      </c>
    </row>
    <row r="972" spans="1:2" x14ac:dyDescent="0.25">
      <c r="A972" s="8">
        <v>43159</v>
      </c>
      <c r="B972">
        <v>3.0790000000000002</v>
      </c>
    </row>
    <row r="973" spans="1:2" x14ac:dyDescent="0.25">
      <c r="A973" s="8">
        <v>43189</v>
      </c>
      <c r="B973">
        <v>3.0680000000000001</v>
      </c>
    </row>
    <row r="974" spans="1:2" x14ac:dyDescent="0.25">
      <c r="A974" s="8">
        <v>43220</v>
      </c>
      <c r="B974">
        <v>3.0449999999999999</v>
      </c>
    </row>
    <row r="975" spans="1:2" x14ac:dyDescent="0.25">
      <c r="A975" s="8">
        <v>43251</v>
      </c>
      <c r="B975">
        <v>3.048</v>
      </c>
    </row>
    <row r="976" spans="1:2" x14ac:dyDescent="0.25">
      <c r="A976" s="8">
        <v>43280</v>
      </c>
      <c r="B976">
        <v>3.044</v>
      </c>
    </row>
    <row r="977" spans="1:2" x14ac:dyDescent="0.25">
      <c r="A977" s="8">
        <v>43312</v>
      </c>
      <c r="B977">
        <v>3.0510000000000002</v>
      </c>
    </row>
    <row r="978" spans="1:2" x14ac:dyDescent="0.25">
      <c r="A978" s="8">
        <v>43343</v>
      </c>
      <c r="B978">
        <v>3.0470000000000002</v>
      </c>
    </row>
    <row r="979" spans="1:2" x14ac:dyDescent="0.25">
      <c r="A979" s="8">
        <v>43371</v>
      </c>
      <c r="B979">
        <v>3.194</v>
      </c>
    </row>
    <row r="980" spans="1:2" x14ac:dyDescent="0.25">
      <c r="A980" s="8">
        <v>43404</v>
      </c>
      <c r="B980">
        <v>3.1379999999999999</v>
      </c>
    </row>
    <row r="981" spans="1:2" x14ac:dyDescent="0.25">
      <c r="A981" s="8">
        <v>43434</v>
      </c>
      <c r="B981">
        <v>3.2309999999999999</v>
      </c>
    </row>
    <row r="982" spans="1:2" x14ac:dyDescent="0.25">
      <c r="A982" s="8">
        <v>43465</v>
      </c>
      <c r="B982">
        <v>3.1720000000000002</v>
      </c>
    </row>
    <row r="983" spans="1:2" x14ac:dyDescent="0.25">
      <c r="A983" s="8">
        <v>43496</v>
      </c>
      <c r="B983">
        <v>3.14</v>
      </c>
    </row>
    <row r="984" spans="1:2" x14ac:dyDescent="0.25">
      <c r="A984" s="8">
        <v>43524</v>
      </c>
      <c r="B984">
        <v>3.0419999999999998</v>
      </c>
    </row>
    <row r="985" spans="1:2" x14ac:dyDescent="0.25">
      <c r="A985" s="8">
        <v>43553</v>
      </c>
      <c r="B985">
        <v>3.2029999999999998</v>
      </c>
    </row>
    <row r="986" spans="1:2" x14ac:dyDescent="0.25">
      <c r="A986" s="8">
        <v>43585</v>
      </c>
      <c r="B986">
        <v>3.335</v>
      </c>
    </row>
    <row r="987" spans="1:2" x14ac:dyDescent="0.25">
      <c r="A987" s="8">
        <v>43616</v>
      </c>
      <c r="B987">
        <v>3.36</v>
      </c>
    </row>
    <row r="988" spans="1:2" x14ac:dyDescent="0.25">
      <c r="A988" s="8">
        <v>43644</v>
      </c>
      <c r="B988">
        <v>3.28</v>
      </c>
    </row>
    <row r="989" spans="1:2" x14ac:dyDescent="0.25">
      <c r="A989" s="8">
        <v>43677</v>
      </c>
      <c r="B989">
        <v>3.403</v>
      </c>
    </row>
    <row r="990" spans="1:2" x14ac:dyDescent="0.25">
      <c r="A990" s="8">
        <v>43707</v>
      </c>
      <c r="B990">
        <v>3.37</v>
      </c>
    </row>
    <row r="991" spans="1:2" x14ac:dyDescent="0.25">
      <c r="A991" s="8">
        <v>43738</v>
      </c>
      <c r="B991">
        <v>3.415</v>
      </c>
    </row>
    <row r="992" spans="1:2" x14ac:dyDescent="0.25">
      <c r="A992" s="8">
        <v>43769</v>
      </c>
      <c r="B992">
        <v>3.0920000000000001</v>
      </c>
    </row>
    <row r="993" spans="1:2" x14ac:dyDescent="0.25">
      <c r="A993" s="8">
        <v>43798</v>
      </c>
      <c r="B993">
        <v>3.0870000000000002</v>
      </c>
    </row>
    <row r="994" spans="1:2" x14ac:dyDescent="0.25">
      <c r="A994" s="8">
        <v>43830</v>
      </c>
      <c r="B994">
        <v>3.1120000000000001</v>
      </c>
    </row>
    <row r="995" spans="1:2" x14ac:dyDescent="0.25">
      <c r="A995" s="8">
        <v>43861</v>
      </c>
      <c r="B995">
        <v>3.0539999999999998</v>
      </c>
    </row>
    <row r="996" spans="1:2" x14ac:dyDescent="0.25">
      <c r="A996" s="8">
        <v>43889</v>
      </c>
      <c r="B996">
        <v>3.004</v>
      </c>
    </row>
    <row r="997" spans="1:2" x14ac:dyDescent="0.25">
      <c r="A997" s="8">
        <v>43921</v>
      </c>
      <c r="B997">
        <v>2.85</v>
      </c>
    </row>
    <row r="998" spans="1:2" x14ac:dyDescent="0.25">
      <c r="A998" s="8">
        <v>43951</v>
      </c>
      <c r="B998">
        <v>2.7389999999999999</v>
      </c>
    </row>
    <row r="999" spans="1:2" x14ac:dyDescent="0.25">
      <c r="A999" s="8">
        <v>43980</v>
      </c>
      <c r="B999">
        <v>2.9209999999999998</v>
      </c>
    </row>
    <row r="1000" spans="1:2" x14ac:dyDescent="0.25">
      <c r="A1000" s="8">
        <v>44012</v>
      </c>
      <c r="B1000">
        <v>2.9049999999999998</v>
      </c>
    </row>
    <row r="1001" spans="1:2" x14ac:dyDescent="0.25">
      <c r="A1001" s="8">
        <v>44043</v>
      </c>
      <c r="B1001">
        <v>2.988</v>
      </c>
    </row>
    <row r="1002" spans="1:2" x14ac:dyDescent="0.25">
      <c r="A1002" s="8">
        <v>44074</v>
      </c>
      <c r="B1002">
        <v>3.14</v>
      </c>
    </row>
    <row r="1003" spans="1:2" x14ac:dyDescent="0.25">
      <c r="A1003" s="8">
        <v>44104</v>
      </c>
      <c r="B1003">
        <v>3.0609999999999999</v>
      </c>
    </row>
    <row r="1004" spans="1:2" x14ac:dyDescent="0.25">
      <c r="A1004" s="8">
        <v>44134</v>
      </c>
      <c r="B1004">
        <v>3.12</v>
      </c>
    </row>
    <row r="1005" spans="1:2" x14ac:dyDescent="0.25">
      <c r="A1005" s="8">
        <v>44165</v>
      </c>
      <c r="B1005">
        <v>3.1080000000000001</v>
      </c>
    </row>
    <row r="1006" spans="1:2" x14ac:dyDescent="0.25">
      <c r="A1006" s="8">
        <v>44196</v>
      </c>
      <c r="B1006">
        <v>3</v>
      </c>
    </row>
    <row r="1007" spans="1:2" x14ac:dyDescent="0.25">
      <c r="A1007" s="8">
        <v>44225</v>
      </c>
      <c r="B1007">
        <v>3.105</v>
      </c>
    </row>
    <row r="1008" spans="1:2" x14ac:dyDescent="0.25">
      <c r="A1008" s="8">
        <v>44253</v>
      </c>
      <c r="B1008">
        <v>3.3839999999999999</v>
      </c>
    </row>
    <row r="1009" spans="1:2" x14ac:dyDescent="0.25">
      <c r="A1009" s="8">
        <v>44286</v>
      </c>
      <c r="B1009">
        <v>3.5579999999999998</v>
      </c>
    </row>
    <row r="1010" spans="1:2" x14ac:dyDescent="0.25">
      <c r="A1010" s="8">
        <v>44316</v>
      </c>
      <c r="B1010">
        <v>3.5019999999999998</v>
      </c>
    </row>
    <row r="1011" spans="1:2" x14ac:dyDescent="0.25">
      <c r="A1011" s="8">
        <v>44347</v>
      </c>
      <c r="B1011">
        <v>3.5739999999999998</v>
      </c>
    </row>
    <row r="1012" spans="1:2" x14ac:dyDescent="0.25">
      <c r="A1012" s="8">
        <v>44377</v>
      </c>
      <c r="B1012">
        <v>3.4689999999999999</v>
      </c>
    </row>
    <row r="1013" spans="1:2" x14ac:dyDescent="0.25">
      <c r="A1013" s="8">
        <v>44407</v>
      </c>
      <c r="B1013">
        <v>3.552</v>
      </c>
    </row>
    <row r="1014" spans="1:2" x14ac:dyDescent="0.25">
      <c r="A1014" s="8">
        <v>44439</v>
      </c>
      <c r="B1014">
        <v>3.625</v>
      </c>
    </row>
    <row r="1015" spans="1:2" x14ac:dyDescent="0.25">
      <c r="A1015" s="8">
        <v>44469</v>
      </c>
      <c r="B1015">
        <v>3.7949999999999999</v>
      </c>
    </row>
    <row r="1016" spans="1:2" x14ac:dyDescent="0.25">
      <c r="A1016" s="8">
        <v>44498</v>
      </c>
      <c r="B1016">
        <v>3.931</v>
      </c>
    </row>
    <row r="1017" spans="1:2" x14ac:dyDescent="0.25">
      <c r="A1017" s="8">
        <v>44530</v>
      </c>
      <c r="B1017">
        <v>4.1749999999999998</v>
      </c>
    </row>
    <row r="1018" spans="1:2" x14ac:dyDescent="0.25">
      <c r="A1018" s="8">
        <v>44561</v>
      </c>
      <c r="B1018">
        <v>3.9420000000000002</v>
      </c>
    </row>
    <row r="1019" spans="1:2" x14ac:dyDescent="0.25">
      <c r="A1019" s="8">
        <v>44592</v>
      </c>
      <c r="B1019">
        <v>4.1539999999999999</v>
      </c>
    </row>
    <row r="1020" spans="1:2" x14ac:dyDescent="0.25">
      <c r="A1020" s="8">
        <v>44620</v>
      </c>
      <c r="B1020">
        <v>4.327</v>
      </c>
    </row>
    <row r="1021" spans="1:2" x14ac:dyDescent="0.25">
      <c r="A1021" s="8">
        <v>44651</v>
      </c>
      <c r="B1021">
        <v>4.3529999999999998</v>
      </c>
    </row>
    <row r="1022" spans="1:2" x14ac:dyDescent="0.25">
      <c r="A1022" s="8">
        <v>44680</v>
      </c>
      <c r="B1022">
        <v>4.4450000000000003</v>
      </c>
    </row>
    <row r="1023" spans="1:2" x14ac:dyDescent="0.25">
      <c r="A1023" s="8">
        <v>44712</v>
      </c>
      <c r="B1023">
        <v>4.226</v>
      </c>
    </row>
    <row r="1024" spans="1:2" x14ac:dyDescent="0.25">
      <c r="A1024" s="8">
        <v>44742</v>
      </c>
      <c r="B1024">
        <v>3.6989999999999998</v>
      </c>
    </row>
    <row r="1025" spans="1:2" x14ac:dyDescent="0.25">
      <c r="A1025" s="8">
        <v>44771</v>
      </c>
      <c r="B1025">
        <v>3.8050000000000002</v>
      </c>
    </row>
    <row r="1026" spans="1:2" x14ac:dyDescent="0.25">
      <c r="A1026" s="8">
        <v>44804</v>
      </c>
      <c r="B1026">
        <v>4.2699999999999996</v>
      </c>
    </row>
    <row r="1027" spans="1:2" x14ac:dyDescent="0.25">
      <c r="A1027" s="8">
        <v>44834</v>
      </c>
      <c r="B1027">
        <v>4.1660000000000004</v>
      </c>
    </row>
    <row r="1028" spans="1:2" x14ac:dyDescent="0.25">
      <c r="A1028" s="8">
        <v>44865</v>
      </c>
      <c r="B1028">
        <v>3.7029999999999998</v>
      </c>
    </row>
    <row r="1029" spans="1:2" x14ac:dyDescent="0.25">
      <c r="A1029" s="8">
        <v>44895</v>
      </c>
      <c r="B1029">
        <v>3.8180000000000001</v>
      </c>
    </row>
    <row r="1030" spans="1:2" x14ac:dyDescent="0.25">
      <c r="A1030" s="8">
        <v>44925</v>
      </c>
      <c r="B1030">
        <v>3.6230000000000002</v>
      </c>
    </row>
    <row r="1031" spans="1:2" x14ac:dyDescent="0.25">
      <c r="A1031" s="8">
        <v>44957</v>
      </c>
      <c r="B1031">
        <v>3.4089999999999998</v>
      </c>
    </row>
    <row r="1032" spans="1:2" x14ac:dyDescent="0.25">
      <c r="A1032" s="8">
        <v>44985</v>
      </c>
      <c r="B1032">
        <v>3.6070000000000002</v>
      </c>
    </row>
    <row r="1033" spans="1:2" x14ac:dyDescent="0.25">
      <c r="A1033" s="8">
        <v>45016</v>
      </c>
      <c r="B1033">
        <v>3.782</v>
      </c>
    </row>
    <row r="1034" spans="1:2" x14ac:dyDescent="0.25">
      <c r="A1034" s="8">
        <v>45044</v>
      </c>
      <c r="B1034">
        <v>3.6019999999999999</v>
      </c>
    </row>
    <row r="1035" spans="1:2" x14ac:dyDescent="0.25">
      <c r="A1035" s="8">
        <v>45077</v>
      </c>
      <c r="B1035">
        <v>3.6869999999999998</v>
      </c>
    </row>
    <row r="1036" spans="1:2" x14ac:dyDescent="0.25">
      <c r="A1036" s="8">
        <v>45107</v>
      </c>
      <c r="B1036">
        <v>3.8679999999999999</v>
      </c>
    </row>
    <row r="1037" spans="1:2" x14ac:dyDescent="0.25">
      <c r="A1037" s="8">
        <v>45138</v>
      </c>
      <c r="B1037">
        <v>3.7839999999999998</v>
      </c>
    </row>
    <row r="1038" spans="1:2" x14ac:dyDescent="0.25">
      <c r="A1038" s="8">
        <v>45169</v>
      </c>
      <c r="B1038">
        <v>3.7650000000000001</v>
      </c>
    </row>
    <row r="1039" spans="1:2" x14ac:dyDescent="0.25">
      <c r="A1039" s="8">
        <v>45198</v>
      </c>
      <c r="B1039">
        <v>3.8479999999999999</v>
      </c>
    </row>
    <row r="1040" spans="1:2" x14ac:dyDescent="0.25">
      <c r="A1040" s="8">
        <v>45230</v>
      </c>
      <c r="B1040">
        <v>3.76</v>
      </c>
    </row>
    <row r="1041" spans="1:2" x14ac:dyDescent="0.25">
      <c r="A1041" s="8">
        <v>45260</v>
      </c>
      <c r="B1041">
        <v>3.5990000000000002</v>
      </c>
    </row>
    <row r="1042" spans="1:2" x14ac:dyDescent="0.25">
      <c r="A1042" s="8">
        <v>45289</v>
      </c>
      <c r="B1042">
        <v>3.4790000000000001</v>
      </c>
    </row>
    <row r="1043" spans="1:2" x14ac:dyDescent="0.25">
      <c r="A1043" s="8">
        <v>45322</v>
      </c>
      <c r="B1043">
        <v>3.512</v>
      </c>
    </row>
    <row r="1044" spans="1:2" x14ac:dyDescent="0.25">
      <c r="A1044" s="8">
        <v>45351</v>
      </c>
      <c r="B1044">
        <v>3.5939999999999999</v>
      </c>
    </row>
    <row r="1045" spans="1:2" x14ac:dyDescent="0.25">
      <c r="A1045" s="8">
        <v>45380</v>
      </c>
      <c r="B1045">
        <v>3.6469999999999998</v>
      </c>
    </row>
    <row r="1046" spans="1:2" x14ac:dyDescent="0.25">
      <c r="A1046" s="8">
        <v>45412</v>
      </c>
      <c r="B1046">
        <v>3.7709999999999999</v>
      </c>
    </row>
    <row r="1047" spans="1:2" x14ac:dyDescent="0.25">
      <c r="A1047" s="8">
        <v>45443</v>
      </c>
      <c r="B1047">
        <v>3.762</v>
      </c>
    </row>
    <row r="1048" spans="1:2" x14ac:dyDescent="0.25">
      <c r="A1048" s="8">
        <v>45471</v>
      </c>
      <c r="B1048">
        <v>3.5880000000000001</v>
      </c>
    </row>
    <row r="1049" spans="1:2" x14ac:dyDescent="0.25">
      <c r="A1049" s="8">
        <v>45504</v>
      </c>
      <c r="B1049">
        <v>3.5179999999999998</v>
      </c>
    </row>
    <row r="1050" spans="1:2" x14ac:dyDescent="0.25">
      <c r="A1050" s="8">
        <v>45534</v>
      </c>
      <c r="B1050">
        <v>3.4049999999999998</v>
      </c>
    </row>
    <row r="1051" spans="1:2" x14ac:dyDescent="0.25">
      <c r="A1051" s="8">
        <v>45565</v>
      </c>
      <c r="B1051">
        <v>3.3959999999999999</v>
      </c>
    </row>
    <row r="1052" spans="1:2" x14ac:dyDescent="0.25">
      <c r="A1052" s="8">
        <v>45596</v>
      </c>
      <c r="B1052">
        <v>3.5680000000000001</v>
      </c>
    </row>
    <row r="1053" spans="1:2" x14ac:dyDescent="0.25">
      <c r="A1053" s="8">
        <v>45625</v>
      </c>
      <c r="B1053">
        <v>3.5089999999999999</v>
      </c>
    </row>
    <row r="1054" spans="1:2" x14ac:dyDescent="0.25">
      <c r="A1054" s="8">
        <v>45657</v>
      </c>
      <c r="B1054">
        <v>3.516</v>
      </c>
    </row>
    <row r="1055" spans="1:2" x14ac:dyDescent="0.25">
      <c r="A1055" s="8">
        <v>45688</v>
      </c>
      <c r="B1055">
        <v>3.5990000000000002</v>
      </c>
    </row>
    <row r="1056" spans="1:2" x14ac:dyDescent="0.25">
      <c r="A1056" s="8">
        <v>45716</v>
      </c>
      <c r="B1056">
        <v>3.4329999999999998</v>
      </c>
    </row>
    <row r="1057" spans="1:2" x14ac:dyDescent="0.25">
      <c r="A1057" s="8">
        <v>45747</v>
      </c>
      <c r="B1057">
        <v>3.3919999999999999</v>
      </c>
    </row>
    <row r="1058" spans="1:2" x14ac:dyDescent="0.25">
      <c r="A1058" s="8">
        <v>45777</v>
      </c>
      <c r="B1058">
        <v>3.1859999999999999</v>
      </c>
    </row>
    <row r="1059" spans="1:2" x14ac:dyDescent="0.25">
      <c r="A1059" s="8">
        <v>45807</v>
      </c>
      <c r="B1059">
        <v>3.157</v>
      </c>
    </row>
    <row r="1060" spans="1:2" x14ac:dyDescent="0.25">
      <c r="A1060" s="8">
        <v>45838</v>
      </c>
      <c r="B1060">
        <v>3.0329999999999999</v>
      </c>
    </row>
    <row r="1061" spans="1:2" x14ac:dyDescent="0.25">
      <c r="A1061" s="8">
        <v>45869</v>
      </c>
      <c r="B1061">
        <v>3.0920000000000001</v>
      </c>
    </row>
    <row r="1062" spans="1:2" x14ac:dyDescent="0.25">
      <c r="A1062" s="8">
        <v>45898</v>
      </c>
      <c r="B1062">
        <v>3.06</v>
      </c>
    </row>
    <row r="1063" spans="1:2" x14ac:dyDescent="0.25">
      <c r="A1063" s="8">
        <v>45930</v>
      </c>
      <c r="B1063">
        <v>3.109</v>
      </c>
    </row>
    <row r="1064" spans="1:2" x14ac:dyDescent="0.25">
      <c r="A1064" s="8">
        <v>45961</v>
      </c>
      <c r="B1064">
        <v>2.927</v>
      </c>
    </row>
    <row r="1065" spans="1:2" x14ac:dyDescent="0.25">
      <c r="A1065" s="8">
        <v>45989</v>
      </c>
      <c r="B1065">
        <v>2.9780000000000002</v>
      </c>
    </row>
    <row r="1066" spans="1:2" x14ac:dyDescent="0.25">
      <c r="A1066" s="8">
        <v>46022</v>
      </c>
      <c r="B1066">
        <v>2.9340000000000002</v>
      </c>
    </row>
    <row r="1067" spans="1:2" x14ac:dyDescent="0.25">
      <c r="A1067" s="8">
        <v>46052</v>
      </c>
      <c r="B1067">
        <v>3.1640000000000001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B6CB0"/>
  </sheetPr>
  <dimension ref="A1:D677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247</v>
      </c>
      <c r="B1" s="6" t="s">
        <v>248</v>
      </c>
      <c r="C1" s="6" t="s">
        <v>249</v>
      </c>
      <c r="D1" s="6" t="s">
        <v>54</v>
      </c>
    </row>
    <row r="2" spans="1:4" x14ac:dyDescent="0.25">
      <c r="A2" s="8">
        <f ca="1">_xll.BDH("CPI YOY Index","PX_LAST","02/01/2016",TODAY(),"Per=M","cols=2;rows=120")</f>
        <v>42400</v>
      </c>
      <c r="B2">
        <v>1.4</v>
      </c>
    </row>
    <row r="3" spans="1:4" x14ac:dyDescent="0.25">
      <c r="A3" s="8">
        <v>42429</v>
      </c>
      <c r="B3">
        <v>1</v>
      </c>
    </row>
    <row r="4" spans="1:4" x14ac:dyDescent="0.25">
      <c r="A4" s="8">
        <v>42460</v>
      </c>
      <c r="B4">
        <v>0.9</v>
      </c>
    </row>
    <row r="5" spans="1:4" x14ac:dyDescent="0.25">
      <c r="A5" s="8">
        <v>42490</v>
      </c>
      <c r="B5">
        <v>1.1000000000000001</v>
      </c>
    </row>
    <row r="6" spans="1:4" x14ac:dyDescent="0.25">
      <c r="A6" s="8">
        <v>42521</v>
      </c>
      <c r="B6">
        <v>1</v>
      </c>
    </row>
    <row r="7" spans="1:4" x14ac:dyDescent="0.25">
      <c r="A7" s="8">
        <v>42551</v>
      </c>
      <c r="B7">
        <v>1</v>
      </c>
    </row>
    <row r="8" spans="1:4" x14ac:dyDescent="0.25">
      <c r="A8" s="8">
        <v>42582</v>
      </c>
      <c r="B8">
        <v>0.8</v>
      </c>
    </row>
    <row r="9" spans="1:4" x14ac:dyDescent="0.25">
      <c r="A9" s="8">
        <v>42613</v>
      </c>
      <c r="B9">
        <v>1.1000000000000001</v>
      </c>
    </row>
    <row r="10" spans="1:4" x14ac:dyDescent="0.25">
      <c r="A10" s="8">
        <v>42643</v>
      </c>
      <c r="B10">
        <v>1.5</v>
      </c>
    </row>
    <row r="11" spans="1:4" x14ac:dyDescent="0.25">
      <c r="A11" s="8">
        <v>42674</v>
      </c>
      <c r="B11">
        <v>1.6</v>
      </c>
    </row>
    <row r="12" spans="1:4" x14ac:dyDescent="0.25">
      <c r="A12" s="8">
        <v>42704</v>
      </c>
      <c r="B12">
        <v>1.7</v>
      </c>
    </row>
    <row r="13" spans="1:4" x14ac:dyDescent="0.25">
      <c r="A13" s="8">
        <v>42735</v>
      </c>
      <c r="B13">
        <v>2.1</v>
      </c>
    </row>
    <row r="14" spans="1:4" x14ac:dyDescent="0.25">
      <c r="A14" s="8">
        <v>42766</v>
      </c>
      <c r="B14">
        <v>2.5</v>
      </c>
    </row>
    <row r="15" spans="1:4" x14ac:dyDescent="0.25">
      <c r="A15" s="8">
        <v>42794</v>
      </c>
      <c r="B15">
        <v>2.7</v>
      </c>
    </row>
    <row r="16" spans="1:4" x14ac:dyDescent="0.25">
      <c r="A16" s="8">
        <v>42825</v>
      </c>
      <c r="B16">
        <v>2.4</v>
      </c>
    </row>
    <row r="17" spans="1:2" x14ac:dyDescent="0.25">
      <c r="A17" s="8">
        <v>42855</v>
      </c>
      <c r="B17">
        <v>2.2000000000000002</v>
      </c>
    </row>
    <row r="18" spans="1:2" x14ac:dyDescent="0.25">
      <c r="A18" s="8">
        <v>42886</v>
      </c>
      <c r="B18">
        <v>1.9</v>
      </c>
    </row>
    <row r="19" spans="1:2" x14ac:dyDescent="0.25">
      <c r="A19" s="8">
        <v>42916</v>
      </c>
      <c r="B19">
        <v>1.6</v>
      </c>
    </row>
    <row r="20" spans="1:2" x14ac:dyDescent="0.25">
      <c r="A20" s="8">
        <v>42947</v>
      </c>
      <c r="B20">
        <v>1.7</v>
      </c>
    </row>
    <row r="21" spans="1:2" x14ac:dyDescent="0.25">
      <c r="A21" s="8">
        <v>42978</v>
      </c>
      <c r="B21">
        <v>1.9</v>
      </c>
    </row>
    <row r="22" spans="1:2" x14ac:dyDescent="0.25">
      <c r="A22" s="8">
        <v>43008</v>
      </c>
      <c r="B22">
        <v>2.2000000000000002</v>
      </c>
    </row>
    <row r="23" spans="1:2" x14ac:dyDescent="0.25">
      <c r="A23" s="8">
        <v>43039</v>
      </c>
      <c r="B23">
        <v>2</v>
      </c>
    </row>
    <row r="24" spans="1:2" x14ac:dyDescent="0.25">
      <c r="A24" s="8">
        <v>43069</v>
      </c>
      <c r="B24">
        <v>2.2000000000000002</v>
      </c>
    </row>
    <row r="25" spans="1:2" x14ac:dyDescent="0.25">
      <c r="A25" s="8">
        <v>43100</v>
      </c>
      <c r="B25">
        <v>2.1</v>
      </c>
    </row>
    <row r="26" spans="1:2" x14ac:dyDescent="0.25">
      <c r="A26" s="8">
        <v>43131</v>
      </c>
      <c r="B26">
        <v>2.1</v>
      </c>
    </row>
    <row r="27" spans="1:2" x14ac:dyDescent="0.25">
      <c r="A27" s="8">
        <v>43159</v>
      </c>
      <c r="B27">
        <v>2.2000000000000002</v>
      </c>
    </row>
    <row r="28" spans="1:2" x14ac:dyDescent="0.25">
      <c r="A28" s="8">
        <v>43190</v>
      </c>
      <c r="B28">
        <v>2.4</v>
      </c>
    </row>
    <row r="29" spans="1:2" x14ac:dyDescent="0.25">
      <c r="A29" s="8">
        <v>43220</v>
      </c>
      <c r="B29">
        <v>2.5</v>
      </c>
    </row>
    <row r="30" spans="1:2" x14ac:dyDescent="0.25">
      <c r="A30" s="8">
        <v>43251</v>
      </c>
      <c r="B30">
        <v>2.8</v>
      </c>
    </row>
    <row r="31" spans="1:2" x14ac:dyDescent="0.25">
      <c r="A31" s="8">
        <v>43281</v>
      </c>
      <c r="B31">
        <v>2.9</v>
      </c>
    </row>
    <row r="32" spans="1:2" x14ac:dyDescent="0.25">
      <c r="A32" s="8">
        <v>43312</v>
      </c>
      <c r="B32">
        <v>2.9</v>
      </c>
    </row>
    <row r="33" spans="1:2" x14ac:dyDescent="0.25">
      <c r="A33" s="8">
        <v>43343</v>
      </c>
      <c r="B33">
        <v>2.7</v>
      </c>
    </row>
    <row r="34" spans="1:2" x14ac:dyDescent="0.25">
      <c r="A34" s="8">
        <v>43373</v>
      </c>
      <c r="B34">
        <v>2.2999999999999998</v>
      </c>
    </row>
    <row r="35" spans="1:2" x14ac:dyDescent="0.25">
      <c r="A35" s="8">
        <v>43404</v>
      </c>
      <c r="B35">
        <v>2.5</v>
      </c>
    </row>
    <row r="36" spans="1:2" x14ac:dyDescent="0.25">
      <c r="A36" s="8">
        <v>43434</v>
      </c>
      <c r="B36">
        <v>2.2000000000000002</v>
      </c>
    </row>
    <row r="37" spans="1:2" x14ac:dyDescent="0.25">
      <c r="A37" s="8">
        <v>43465</v>
      </c>
      <c r="B37">
        <v>1.9</v>
      </c>
    </row>
    <row r="38" spans="1:2" x14ac:dyDescent="0.25">
      <c r="A38" s="8">
        <v>43496</v>
      </c>
      <c r="B38">
        <v>1.6</v>
      </c>
    </row>
    <row r="39" spans="1:2" x14ac:dyDescent="0.25">
      <c r="A39" s="8">
        <v>43524</v>
      </c>
      <c r="B39">
        <v>1.5</v>
      </c>
    </row>
    <row r="40" spans="1:2" x14ac:dyDescent="0.25">
      <c r="A40" s="8">
        <v>43555</v>
      </c>
      <c r="B40">
        <v>1.9</v>
      </c>
    </row>
    <row r="41" spans="1:2" x14ac:dyDescent="0.25">
      <c r="A41" s="8">
        <v>43585</v>
      </c>
      <c r="B41">
        <v>2</v>
      </c>
    </row>
    <row r="42" spans="1:2" x14ac:dyDescent="0.25">
      <c r="A42" s="8">
        <v>43616</v>
      </c>
      <c r="B42">
        <v>1.8</v>
      </c>
    </row>
    <row r="43" spans="1:2" x14ac:dyDescent="0.25">
      <c r="A43" s="8">
        <v>43646</v>
      </c>
      <c r="B43">
        <v>1.6</v>
      </c>
    </row>
    <row r="44" spans="1:2" x14ac:dyDescent="0.25">
      <c r="A44" s="8">
        <v>43677</v>
      </c>
      <c r="B44">
        <v>1.8</v>
      </c>
    </row>
    <row r="45" spans="1:2" x14ac:dyDescent="0.25">
      <c r="A45" s="8">
        <v>43708</v>
      </c>
      <c r="B45">
        <v>1.7</v>
      </c>
    </row>
    <row r="46" spans="1:2" x14ac:dyDescent="0.25">
      <c r="A46" s="8">
        <v>43738</v>
      </c>
      <c r="B46">
        <v>1.7</v>
      </c>
    </row>
    <row r="47" spans="1:2" x14ac:dyDescent="0.25">
      <c r="A47" s="8">
        <v>43769</v>
      </c>
      <c r="B47">
        <v>1.8</v>
      </c>
    </row>
    <row r="48" spans="1:2" x14ac:dyDescent="0.25">
      <c r="A48" s="8">
        <v>43799</v>
      </c>
      <c r="B48">
        <v>2.1</v>
      </c>
    </row>
    <row r="49" spans="1:2" x14ac:dyDescent="0.25">
      <c r="A49" s="8">
        <v>43830</v>
      </c>
      <c r="B49">
        <v>2.2999999999999998</v>
      </c>
    </row>
    <row r="50" spans="1:2" x14ac:dyDescent="0.25">
      <c r="A50" s="8">
        <v>43861</v>
      </c>
      <c r="B50">
        <v>2.5</v>
      </c>
    </row>
    <row r="51" spans="1:2" x14ac:dyDescent="0.25">
      <c r="A51" s="8">
        <v>43890</v>
      </c>
      <c r="B51">
        <v>2.2999999999999998</v>
      </c>
    </row>
    <row r="52" spans="1:2" x14ac:dyDescent="0.25">
      <c r="A52" s="8">
        <v>43921</v>
      </c>
      <c r="B52">
        <v>1.5</v>
      </c>
    </row>
    <row r="53" spans="1:2" x14ac:dyDescent="0.25">
      <c r="A53" s="8">
        <v>43951</v>
      </c>
      <c r="B53">
        <v>0.3</v>
      </c>
    </row>
    <row r="54" spans="1:2" x14ac:dyDescent="0.25">
      <c r="A54" s="8">
        <v>43982</v>
      </c>
      <c r="B54">
        <v>0.1</v>
      </c>
    </row>
    <row r="55" spans="1:2" x14ac:dyDescent="0.25">
      <c r="A55" s="8">
        <v>44012</v>
      </c>
      <c r="B55">
        <v>0.6</v>
      </c>
    </row>
    <row r="56" spans="1:2" x14ac:dyDescent="0.25">
      <c r="A56" s="8">
        <v>44043</v>
      </c>
      <c r="B56">
        <v>1</v>
      </c>
    </row>
    <row r="57" spans="1:2" x14ac:dyDescent="0.25">
      <c r="A57" s="8">
        <v>44074</v>
      </c>
      <c r="B57">
        <v>1.3</v>
      </c>
    </row>
    <row r="58" spans="1:2" x14ac:dyDescent="0.25">
      <c r="A58" s="8">
        <v>44104</v>
      </c>
      <c r="B58">
        <v>1.4</v>
      </c>
    </row>
    <row r="59" spans="1:2" x14ac:dyDescent="0.25">
      <c r="A59" s="8">
        <v>44135</v>
      </c>
      <c r="B59">
        <v>1.2</v>
      </c>
    </row>
    <row r="60" spans="1:2" x14ac:dyDescent="0.25">
      <c r="A60" s="8">
        <v>44165</v>
      </c>
      <c r="B60">
        <v>1.2</v>
      </c>
    </row>
    <row r="61" spans="1:2" x14ac:dyDescent="0.25">
      <c r="A61" s="8">
        <v>44196</v>
      </c>
      <c r="B61">
        <v>1.4</v>
      </c>
    </row>
    <row r="62" spans="1:2" x14ac:dyDescent="0.25">
      <c r="A62" s="8">
        <v>44227</v>
      </c>
      <c r="B62">
        <v>1.4</v>
      </c>
    </row>
    <row r="63" spans="1:2" x14ac:dyDescent="0.25">
      <c r="A63" s="8">
        <v>44255</v>
      </c>
      <c r="B63">
        <v>1.7</v>
      </c>
    </row>
    <row r="64" spans="1:2" x14ac:dyDescent="0.25">
      <c r="A64" s="8">
        <v>44286</v>
      </c>
      <c r="B64">
        <v>2.6</v>
      </c>
    </row>
    <row r="65" spans="1:2" x14ac:dyDescent="0.25">
      <c r="A65" s="8">
        <v>44316</v>
      </c>
      <c r="B65">
        <v>4.2</v>
      </c>
    </row>
    <row r="66" spans="1:2" x14ac:dyDescent="0.25">
      <c r="A66" s="8">
        <v>44347</v>
      </c>
      <c r="B66">
        <v>5</v>
      </c>
    </row>
    <row r="67" spans="1:2" x14ac:dyDescent="0.25">
      <c r="A67" s="8">
        <v>44377</v>
      </c>
      <c r="B67">
        <v>5.4</v>
      </c>
    </row>
    <row r="68" spans="1:2" x14ac:dyDescent="0.25">
      <c r="A68" s="8">
        <v>44408</v>
      </c>
      <c r="B68">
        <v>5.4</v>
      </c>
    </row>
    <row r="69" spans="1:2" x14ac:dyDescent="0.25">
      <c r="A69" s="8">
        <v>44439</v>
      </c>
      <c r="B69">
        <v>5.3</v>
      </c>
    </row>
    <row r="70" spans="1:2" x14ac:dyDescent="0.25">
      <c r="A70" s="8">
        <v>44469</v>
      </c>
      <c r="B70">
        <v>5.4</v>
      </c>
    </row>
    <row r="71" spans="1:2" x14ac:dyDescent="0.25">
      <c r="A71" s="8">
        <v>44500</v>
      </c>
      <c r="B71">
        <v>6.2</v>
      </c>
    </row>
    <row r="72" spans="1:2" x14ac:dyDescent="0.25">
      <c r="A72" s="8">
        <v>44530</v>
      </c>
      <c r="B72">
        <v>6.8</v>
      </c>
    </row>
    <row r="73" spans="1:2" x14ac:dyDescent="0.25">
      <c r="A73" s="8">
        <v>44561</v>
      </c>
      <c r="B73">
        <v>7</v>
      </c>
    </row>
    <row r="74" spans="1:2" x14ac:dyDescent="0.25">
      <c r="A74" s="8">
        <v>44592</v>
      </c>
      <c r="B74">
        <v>7.5</v>
      </c>
    </row>
    <row r="75" spans="1:2" x14ac:dyDescent="0.25">
      <c r="A75" s="8">
        <v>44620</v>
      </c>
      <c r="B75">
        <v>7.9</v>
      </c>
    </row>
    <row r="76" spans="1:2" x14ac:dyDescent="0.25">
      <c r="A76" s="8">
        <v>44651</v>
      </c>
      <c r="B76">
        <v>8.5</v>
      </c>
    </row>
    <row r="77" spans="1:2" x14ac:dyDescent="0.25">
      <c r="A77" s="8">
        <v>44681</v>
      </c>
      <c r="B77">
        <v>8.3000000000000007</v>
      </c>
    </row>
    <row r="78" spans="1:2" x14ac:dyDescent="0.25">
      <c r="A78" s="8">
        <v>44712</v>
      </c>
      <c r="B78">
        <v>8.6</v>
      </c>
    </row>
    <row r="79" spans="1:2" x14ac:dyDescent="0.25">
      <c r="A79" s="8">
        <v>44742</v>
      </c>
      <c r="B79">
        <v>9.1</v>
      </c>
    </row>
    <row r="80" spans="1:2" x14ac:dyDescent="0.25">
      <c r="A80" s="8">
        <v>44773</v>
      </c>
      <c r="B80">
        <v>8.5</v>
      </c>
    </row>
    <row r="81" spans="1:2" x14ac:dyDescent="0.25">
      <c r="A81" s="8">
        <v>44804</v>
      </c>
      <c r="B81">
        <v>8.3000000000000007</v>
      </c>
    </row>
    <row r="82" spans="1:2" x14ac:dyDescent="0.25">
      <c r="A82" s="8">
        <v>44834</v>
      </c>
      <c r="B82">
        <v>8.1999999999999993</v>
      </c>
    </row>
    <row r="83" spans="1:2" x14ac:dyDescent="0.25">
      <c r="A83" s="8">
        <v>44865</v>
      </c>
      <c r="B83">
        <v>7.7</v>
      </c>
    </row>
    <row r="84" spans="1:2" x14ac:dyDescent="0.25">
      <c r="A84" s="8">
        <v>44895</v>
      </c>
      <c r="B84">
        <v>7.1</v>
      </c>
    </row>
    <row r="85" spans="1:2" x14ac:dyDescent="0.25">
      <c r="A85" s="8">
        <v>44926</v>
      </c>
      <c r="B85">
        <v>6.5</v>
      </c>
    </row>
    <row r="86" spans="1:2" x14ac:dyDescent="0.25">
      <c r="A86" s="8">
        <v>44957</v>
      </c>
      <c r="B86">
        <v>6.4</v>
      </c>
    </row>
    <row r="87" spans="1:2" x14ac:dyDescent="0.25">
      <c r="A87" s="8">
        <v>44985</v>
      </c>
      <c r="B87">
        <v>6</v>
      </c>
    </row>
    <row r="88" spans="1:2" x14ac:dyDescent="0.25">
      <c r="A88" s="8">
        <v>45016</v>
      </c>
      <c r="B88">
        <v>5</v>
      </c>
    </row>
    <row r="89" spans="1:2" x14ac:dyDescent="0.25">
      <c r="A89" s="8">
        <v>45046</v>
      </c>
      <c r="B89">
        <v>4.9000000000000004</v>
      </c>
    </row>
    <row r="90" spans="1:2" x14ac:dyDescent="0.25">
      <c r="A90" s="8">
        <v>45077</v>
      </c>
      <c r="B90">
        <v>4</v>
      </c>
    </row>
    <row r="91" spans="1:2" x14ac:dyDescent="0.25">
      <c r="A91" s="8">
        <v>45107</v>
      </c>
      <c r="B91">
        <v>3</v>
      </c>
    </row>
    <row r="92" spans="1:2" x14ac:dyDescent="0.25">
      <c r="A92" s="8">
        <v>45138</v>
      </c>
      <c r="B92">
        <v>3.2</v>
      </c>
    </row>
    <row r="93" spans="1:2" x14ac:dyDescent="0.25">
      <c r="A93" s="8">
        <v>45169</v>
      </c>
      <c r="B93">
        <v>3.7</v>
      </c>
    </row>
    <row r="94" spans="1:2" x14ac:dyDescent="0.25">
      <c r="A94" s="8">
        <v>45199</v>
      </c>
      <c r="B94">
        <v>3.7</v>
      </c>
    </row>
    <row r="95" spans="1:2" x14ac:dyDescent="0.25">
      <c r="A95" s="8">
        <v>45230</v>
      </c>
      <c r="B95">
        <v>3.2</v>
      </c>
    </row>
    <row r="96" spans="1:2" x14ac:dyDescent="0.25">
      <c r="A96" s="8">
        <v>45260</v>
      </c>
      <c r="B96">
        <v>3.1</v>
      </c>
    </row>
    <row r="97" spans="1:2" x14ac:dyDescent="0.25">
      <c r="A97" s="8">
        <v>45291</v>
      </c>
      <c r="B97">
        <v>3.4</v>
      </c>
    </row>
    <row r="98" spans="1:2" x14ac:dyDescent="0.25">
      <c r="A98" s="8">
        <v>45322</v>
      </c>
      <c r="B98">
        <v>3.1</v>
      </c>
    </row>
    <row r="99" spans="1:2" x14ac:dyDescent="0.25">
      <c r="A99" s="8">
        <v>45351</v>
      </c>
      <c r="B99">
        <v>3.2</v>
      </c>
    </row>
    <row r="100" spans="1:2" x14ac:dyDescent="0.25">
      <c r="A100" s="8">
        <v>45382</v>
      </c>
      <c r="B100">
        <v>3.5</v>
      </c>
    </row>
    <row r="101" spans="1:2" x14ac:dyDescent="0.25">
      <c r="A101" s="8">
        <v>45412</v>
      </c>
      <c r="B101">
        <v>3.4</v>
      </c>
    </row>
    <row r="102" spans="1:2" x14ac:dyDescent="0.25">
      <c r="A102" s="8">
        <v>45443</v>
      </c>
      <c r="B102">
        <v>3.3</v>
      </c>
    </row>
    <row r="103" spans="1:2" x14ac:dyDescent="0.25">
      <c r="A103" s="8">
        <v>45473</v>
      </c>
      <c r="B103">
        <v>3</v>
      </c>
    </row>
    <row r="104" spans="1:2" x14ac:dyDescent="0.25">
      <c r="A104" s="8">
        <v>45504</v>
      </c>
      <c r="B104">
        <v>2.9</v>
      </c>
    </row>
    <row r="105" spans="1:2" x14ac:dyDescent="0.25">
      <c r="A105" s="8">
        <v>45535</v>
      </c>
      <c r="B105">
        <v>2.5</v>
      </c>
    </row>
    <row r="106" spans="1:2" x14ac:dyDescent="0.25">
      <c r="A106" s="8">
        <v>45565</v>
      </c>
      <c r="B106">
        <v>2.4</v>
      </c>
    </row>
    <row r="107" spans="1:2" x14ac:dyDescent="0.25">
      <c r="A107" s="8">
        <v>45596</v>
      </c>
      <c r="B107">
        <v>2.6</v>
      </c>
    </row>
    <row r="108" spans="1:2" x14ac:dyDescent="0.25">
      <c r="A108" s="8">
        <v>45626</v>
      </c>
      <c r="B108">
        <v>2.7</v>
      </c>
    </row>
    <row r="109" spans="1:2" x14ac:dyDescent="0.25">
      <c r="A109" s="8">
        <v>45657</v>
      </c>
      <c r="B109">
        <v>2.9</v>
      </c>
    </row>
    <row r="110" spans="1:2" x14ac:dyDescent="0.25">
      <c r="A110" s="8">
        <v>45688</v>
      </c>
      <c r="B110">
        <v>3</v>
      </c>
    </row>
    <row r="111" spans="1:2" x14ac:dyDescent="0.25">
      <c r="A111" s="8">
        <v>45716</v>
      </c>
      <c r="B111">
        <v>2.8</v>
      </c>
    </row>
    <row r="112" spans="1:2" x14ac:dyDescent="0.25">
      <c r="A112" s="8">
        <v>45747</v>
      </c>
      <c r="B112">
        <v>2.4</v>
      </c>
    </row>
    <row r="113" spans="1:2" x14ac:dyDescent="0.25">
      <c r="A113" s="8">
        <v>45777</v>
      </c>
      <c r="B113">
        <v>2.2999999999999998</v>
      </c>
    </row>
    <row r="114" spans="1:2" x14ac:dyDescent="0.25">
      <c r="A114" s="8">
        <v>45808</v>
      </c>
      <c r="B114">
        <v>2.4</v>
      </c>
    </row>
    <row r="115" spans="1:2" x14ac:dyDescent="0.25">
      <c r="A115" s="8">
        <v>45838</v>
      </c>
      <c r="B115">
        <v>2.7</v>
      </c>
    </row>
    <row r="116" spans="1:2" x14ac:dyDescent="0.25">
      <c r="A116" s="8">
        <v>45869</v>
      </c>
      <c r="B116">
        <v>2.7</v>
      </c>
    </row>
    <row r="117" spans="1:2" x14ac:dyDescent="0.25">
      <c r="A117" s="8">
        <v>45900</v>
      </c>
      <c r="B117">
        <v>2.9</v>
      </c>
    </row>
    <row r="118" spans="1:2" x14ac:dyDescent="0.25">
      <c r="A118" s="8">
        <v>45930</v>
      </c>
      <c r="B118">
        <v>3</v>
      </c>
    </row>
    <row r="119" spans="1:2" x14ac:dyDescent="0.25">
      <c r="A119" s="8">
        <v>45991</v>
      </c>
      <c r="B119">
        <v>2.7</v>
      </c>
    </row>
    <row r="120" spans="1:2" x14ac:dyDescent="0.25">
      <c r="A120" s="8">
        <v>46022</v>
      </c>
      <c r="B120">
        <v>2.7</v>
      </c>
    </row>
    <row r="121" spans="1:2" x14ac:dyDescent="0.25">
      <c r="A121" s="8">
        <v>46053</v>
      </c>
      <c r="B121">
        <v>2.4</v>
      </c>
    </row>
    <row r="136" spans="1:4" x14ac:dyDescent="0.25">
      <c r="A136" s="6" t="s">
        <v>250</v>
      </c>
      <c r="B136" s="6" t="s">
        <v>251</v>
      </c>
      <c r="C136" s="6" t="s">
        <v>252</v>
      </c>
      <c r="D136" s="6" t="s">
        <v>54</v>
      </c>
    </row>
    <row r="137" spans="1:4" x14ac:dyDescent="0.25">
      <c r="A137" s="8">
        <f ca="1">_xll.BDH("CPI XYOY Index","PX_LAST","02/01/2016",TODAY(),"Per=M","cols=2;rows=120")</f>
        <v>42400</v>
      </c>
      <c r="B137">
        <v>2.2000000000000002</v>
      </c>
    </row>
    <row r="138" spans="1:4" x14ac:dyDescent="0.25">
      <c r="A138" s="8">
        <v>42429</v>
      </c>
      <c r="B138">
        <v>2.2999999999999998</v>
      </c>
    </row>
    <row r="139" spans="1:4" x14ac:dyDescent="0.25">
      <c r="A139" s="8">
        <v>42460</v>
      </c>
      <c r="B139">
        <v>2.2000000000000002</v>
      </c>
    </row>
    <row r="140" spans="1:4" x14ac:dyDescent="0.25">
      <c r="A140" s="8">
        <v>42490</v>
      </c>
      <c r="B140">
        <v>2.1</v>
      </c>
    </row>
    <row r="141" spans="1:4" x14ac:dyDescent="0.25">
      <c r="A141" s="8">
        <v>42521</v>
      </c>
      <c r="B141">
        <v>2.2000000000000002</v>
      </c>
    </row>
    <row r="142" spans="1:4" x14ac:dyDescent="0.25">
      <c r="A142" s="8">
        <v>42551</v>
      </c>
      <c r="B142">
        <v>2.2000000000000002</v>
      </c>
    </row>
    <row r="143" spans="1:4" x14ac:dyDescent="0.25">
      <c r="A143" s="8">
        <v>42582</v>
      </c>
      <c r="B143">
        <v>2.2000000000000002</v>
      </c>
    </row>
    <row r="144" spans="1:4" x14ac:dyDescent="0.25">
      <c r="A144" s="8">
        <v>42613</v>
      </c>
      <c r="B144">
        <v>2.2999999999999998</v>
      </c>
    </row>
    <row r="145" spans="1:2" x14ac:dyDescent="0.25">
      <c r="A145" s="8">
        <v>42643</v>
      </c>
      <c r="B145">
        <v>2.2000000000000002</v>
      </c>
    </row>
    <row r="146" spans="1:2" x14ac:dyDescent="0.25">
      <c r="A146" s="8">
        <v>42674</v>
      </c>
      <c r="B146">
        <v>2.1</v>
      </c>
    </row>
    <row r="147" spans="1:2" x14ac:dyDescent="0.25">
      <c r="A147" s="8">
        <v>42704</v>
      </c>
      <c r="B147">
        <v>2.1</v>
      </c>
    </row>
    <row r="148" spans="1:2" x14ac:dyDescent="0.25">
      <c r="A148" s="8">
        <v>42735</v>
      </c>
      <c r="B148">
        <v>2.2000000000000002</v>
      </c>
    </row>
    <row r="149" spans="1:2" x14ac:dyDescent="0.25">
      <c r="A149" s="8">
        <v>42766</v>
      </c>
      <c r="B149">
        <v>2.2999999999999998</v>
      </c>
    </row>
    <row r="150" spans="1:2" x14ac:dyDescent="0.25">
      <c r="A150" s="8">
        <v>42794</v>
      </c>
      <c r="B150">
        <v>2.2000000000000002</v>
      </c>
    </row>
    <row r="151" spans="1:2" x14ac:dyDescent="0.25">
      <c r="A151" s="8">
        <v>42825</v>
      </c>
      <c r="B151">
        <v>2</v>
      </c>
    </row>
    <row r="152" spans="1:2" x14ac:dyDescent="0.25">
      <c r="A152" s="8">
        <v>42855</v>
      </c>
      <c r="B152">
        <v>1.9</v>
      </c>
    </row>
    <row r="153" spans="1:2" x14ac:dyDescent="0.25">
      <c r="A153" s="8">
        <v>42886</v>
      </c>
      <c r="B153">
        <v>1.7</v>
      </c>
    </row>
    <row r="154" spans="1:2" x14ac:dyDescent="0.25">
      <c r="A154" s="8">
        <v>42916</v>
      </c>
      <c r="B154">
        <v>1.7</v>
      </c>
    </row>
    <row r="155" spans="1:2" x14ac:dyDescent="0.25">
      <c r="A155" s="8">
        <v>42947</v>
      </c>
      <c r="B155">
        <v>1.7</v>
      </c>
    </row>
    <row r="156" spans="1:2" x14ac:dyDescent="0.25">
      <c r="A156" s="8">
        <v>42978</v>
      </c>
      <c r="B156">
        <v>1.7</v>
      </c>
    </row>
    <row r="157" spans="1:2" x14ac:dyDescent="0.25">
      <c r="A157" s="8">
        <v>43008</v>
      </c>
      <c r="B157">
        <v>1.7</v>
      </c>
    </row>
    <row r="158" spans="1:2" x14ac:dyDescent="0.25">
      <c r="A158" s="8">
        <v>43039</v>
      </c>
      <c r="B158">
        <v>1.8</v>
      </c>
    </row>
    <row r="159" spans="1:2" x14ac:dyDescent="0.25">
      <c r="A159" s="8">
        <v>43069</v>
      </c>
      <c r="B159">
        <v>1.7</v>
      </c>
    </row>
    <row r="160" spans="1:2" x14ac:dyDescent="0.25">
      <c r="A160" s="8">
        <v>43100</v>
      </c>
      <c r="B160">
        <v>1.8</v>
      </c>
    </row>
    <row r="161" spans="1:2" x14ac:dyDescent="0.25">
      <c r="A161" s="8">
        <v>43131</v>
      </c>
      <c r="B161">
        <v>1.8</v>
      </c>
    </row>
    <row r="162" spans="1:2" x14ac:dyDescent="0.25">
      <c r="A162" s="8">
        <v>43159</v>
      </c>
      <c r="B162">
        <v>1.8</v>
      </c>
    </row>
    <row r="163" spans="1:2" x14ac:dyDescent="0.25">
      <c r="A163" s="8">
        <v>43190</v>
      </c>
      <c r="B163">
        <v>2.1</v>
      </c>
    </row>
    <row r="164" spans="1:2" x14ac:dyDescent="0.25">
      <c r="A164" s="8">
        <v>43220</v>
      </c>
      <c r="B164">
        <v>2.1</v>
      </c>
    </row>
    <row r="165" spans="1:2" x14ac:dyDescent="0.25">
      <c r="A165" s="8">
        <v>43251</v>
      </c>
      <c r="B165">
        <v>2.2000000000000002</v>
      </c>
    </row>
    <row r="166" spans="1:2" x14ac:dyDescent="0.25">
      <c r="A166" s="8">
        <v>43281</v>
      </c>
      <c r="B166">
        <v>2.2999999999999998</v>
      </c>
    </row>
    <row r="167" spans="1:2" x14ac:dyDescent="0.25">
      <c r="A167" s="8">
        <v>43312</v>
      </c>
      <c r="B167">
        <v>2.4</v>
      </c>
    </row>
    <row r="168" spans="1:2" x14ac:dyDescent="0.25">
      <c r="A168" s="8">
        <v>43343</v>
      </c>
      <c r="B168">
        <v>2.2000000000000002</v>
      </c>
    </row>
    <row r="169" spans="1:2" x14ac:dyDescent="0.25">
      <c r="A169" s="8">
        <v>43373</v>
      </c>
      <c r="B169">
        <v>2.2000000000000002</v>
      </c>
    </row>
    <row r="170" spans="1:2" x14ac:dyDescent="0.25">
      <c r="A170" s="8">
        <v>43404</v>
      </c>
      <c r="B170">
        <v>2.1</v>
      </c>
    </row>
    <row r="171" spans="1:2" x14ac:dyDescent="0.25">
      <c r="A171" s="8">
        <v>43434</v>
      </c>
      <c r="B171">
        <v>2.2000000000000002</v>
      </c>
    </row>
    <row r="172" spans="1:2" x14ac:dyDescent="0.25">
      <c r="A172" s="8">
        <v>43465</v>
      </c>
      <c r="B172">
        <v>2.2000000000000002</v>
      </c>
    </row>
    <row r="173" spans="1:2" x14ac:dyDescent="0.25">
      <c r="A173" s="8">
        <v>43496</v>
      </c>
      <c r="B173">
        <v>2.2000000000000002</v>
      </c>
    </row>
    <row r="174" spans="1:2" x14ac:dyDescent="0.25">
      <c r="A174" s="8">
        <v>43524</v>
      </c>
      <c r="B174">
        <v>2.1</v>
      </c>
    </row>
    <row r="175" spans="1:2" x14ac:dyDescent="0.25">
      <c r="A175" s="8">
        <v>43555</v>
      </c>
      <c r="B175">
        <v>2</v>
      </c>
    </row>
    <row r="176" spans="1:2" x14ac:dyDescent="0.25">
      <c r="A176" s="8">
        <v>43585</v>
      </c>
      <c r="B176">
        <v>2.1</v>
      </c>
    </row>
    <row r="177" spans="1:2" x14ac:dyDescent="0.25">
      <c r="A177" s="8">
        <v>43616</v>
      </c>
      <c r="B177">
        <v>2</v>
      </c>
    </row>
    <row r="178" spans="1:2" x14ac:dyDescent="0.25">
      <c r="A178" s="8">
        <v>43646</v>
      </c>
      <c r="B178">
        <v>2.1</v>
      </c>
    </row>
    <row r="179" spans="1:2" x14ac:dyDescent="0.25">
      <c r="A179" s="8">
        <v>43677</v>
      </c>
      <c r="B179">
        <v>2.2000000000000002</v>
      </c>
    </row>
    <row r="180" spans="1:2" x14ac:dyDescent="0.25">
      <c r="A180" s="8">
        <v>43708</v>
      </c>
      <c r="B180">
        <v>2.4</v>
      </c>
    </row>
    <row r="181" spans="1:2" x14ac:dyDescent="0.25">
      <c r="A181" s="8">
        <v>43738</v>
      </c>
      <c r="B181">
        <v>2.4</v>
      </c>
    </row>
    <row r="182" spans="1:2" x14ac:dyDescent="0.25">
      <c r="A182" s="8">
        <v>43769</v>
      </c>
      <c r="B182">
        <v>2.2999999999999998</v>
      </c>
    </row>
    <row r="183" spans="1:2" x14ac:dyDescent="0.25">
      <c r="A183" s="8">
        <v>43799</v>
      </c>
      <c r="B183">
        <v>2.2999999999999998</v>
      </c>
    </row>
    <row r="184" spans="1:2" x14ac:dyDescent="0.25">
      <c r="A184" s="8">
        <v>43830</v>
      </c>
      <c r="B184">
        <v>2.2999999999999998</v>
      </c>
    </row>
    <row r="185" spans="1:2" x14ac:dyDescent="0.25">
      <c r="A185" s="8">
        <v>43861</v>
      </c>
      <c r="B185">
        <v>2.2999999999999998</v>
      </c>
    </row>
    <row r="186" spans="1:2" x14ac:dyDescent="0.25">
      <c r="A186" s="8">
        <v>43890</v>
      </c>
      <c r="B186">
        <v>2.4</v>
      </c>
    </row>
    <row r="187" spans="1:2" x14ac:dyDescent="0.25">
      <c r="A187" s="8">
        <v>43921</v>
      </c>
      <c r="B187">
        <v>2.1</v>
      </c>
    </row>
    <row r="188" spans="1:2" x14ac:dyDescent="0.25">
      <c r="A188" s="8">
        <v>43951</v>
      </c>
      <c r="B188">
        <v>1.4</v>
      </c>
    </row>
    <row r="189" spans="1:2" x14ac:dyDescent="0.25">
      <c r="A189" s="8">
        <v>43982</v>
      </c>
      <c r="B189">
        <v>1.2</v>
      </c>
    </row>
    <row r="190" spans="1:2" x14ac:dyDescent="0.25">
      <c r="A190" s="8">
        <v>44012</v>
      </c>
      <c r="B190">
        <v>1.2</v>
      </c>
    </row>
    <row r="191" spans="1:2" x14ac:dyDescent="0.25">
      <c r="A191" s="8">
        <v>44043</v>
      </c>
      <c r="B191">
        <v>1.6</v>
      </c>
    </row>
    <row r="192" spans="1:2" x14ac:dyDescent="0.25">
      <c r="A192" s="8">
        <v>44074</v>
      </c>
      <c r="B192">
        <v>1.7</v>
      </c>
    </row>
    <row r="193" spans="1:2" x14ac:dyDescent="0.25">
      <c r="A193" s="8">
        <v>44104</v>
      </c>
      <c r="B193">
        <v>1.7</v>
      </c>
    </row>
    <row r="194" spans="1:2" x14ac:dyDescent="0.25">
      <c r="A194" s="8">
        <v>44135</v>
      </c>
      <c r="B194">
        <v>1.6</v>
      </c>
    </row>
    <row r="195" spans="1:2" x14ac:dyDescent="0.25">
      <c r="A195" s="8">
        <v>44165</v>
      </c>
      <c r="B195">
        <v>1.6</v>
      </c>
    </row>
    <row r="196" spans="1:2" x14ac:dyDescent="0.25">
      <c r="A196" s="8">
        <v>44196</v>
      </c>
      <c r="B196">
        <v>1.6</v>
      </c>
    </row>
    <row r="197" spans="1:2" x14ac:dyDescent="0.25">
      <c r="A197" s="8">
        <v>44227</v>
      </c>
      <c r="B197">
        <v>1.4</v>
      </c>
    </row>
    <row r="198" spans="1:2" x14ac:dyDescent="0.25">
      <c r="A198" s="8">
        <v>44255</v>
      </c>
      <c r="B198">
        <v>1.3</v>
      </c>
    </row>
    <row r="199" spans="1:2" x14ac:dyDescent="0.25">
      <c r="A199" s="8">
        <v>44286</v>
      </c>
      <c r="B199">
        <v>1.6</v>
      </c>
    </row>
    <row r="200" spans="1:2" x14ac:dyDescent="0.25">
      <c r="A200" s="8">
        <v>44316</v>
      </c>
      <c r="B200">
        <v>3</v>
      </c>
    </row>
    <row r="201" spans="1:2" x14ac:dyDescent="0.25">
      <c r="A201" s="8">
        <v>44347</v>
      </c>
      <c r="B201">
        <v>3.8</v>
      </c>
    </row>
    <row r="202" spans="1:2" x14ac:dyDescent="0.25">
      <c r="A202" s="8">
        <v>44377</v>
      </c>
      <c r="B202">
        <v>4.5</v>
      </c>
    </row>
    <row r="203" spans="1:2" x14ac:dyDescent="0.25">
      <c r="A203" s="8">
        <v>44408</v>
      </c>
      <c r="B203">
        <v>4.3</v>
      </c>
    </row>
    <row r="204" spans="1:2" x14ac:dyDescent="0.25">
      <c r="A204" s="8">
        <v>44439</v>
      </c>
      <c r="B204">
        <v>4</v>
      </c>
    </row>
    <row r="205" spans="1:2" x14ac:dyDescent="0.25">
      <c r="A205" s="8">
        <v>44469</v>
      </c>
      <c r="B205">
        <v>4</v>
      </c>
    </row>
    <row r="206" spans="1:2" x14ac:dyDescent="0.25">
      <c r="A206" s="8">
        <v>44500</v>
      </c>
      <c r="B206">
        <v>4.5999999999999996</v>
      </c>
    </row>
    <row r="207" spans="1:2" x14ac:dyDescent="0.25">
      <c r="A207" s="8">
        <v>44530</v>
      </c>
      <c r="B207">
        <v>4.9000000000000004</v>
      </c>
    </row>
    <row r="208" spans="1:2" x14ac:dyDescent="0.25">
      <c r="A208" s="8">
        <v>44561</v>
      </c>
      <c r="B208">
        <v>5.5</v>
      </c>
    </row>
    <row r="209" spans="1:2" x14ac:dyDescent="0.25">
      <c r="A209" s="8">
        <v>44592</v>
      </c>
      <c r="B209">
        <v>6</v>
      </c>
    </row>
    <row r="210" spans="1:2" x14ac:dyDescent="0.25">
      <c r="A210" s="8">
        <v>44620</v>
      </c>
      <c r="B210">
        <v>6.4</v>
      </c>
    </row>
    <row r="211" spans="1:2" x14ac:dyDescent="0.25">
      <c r="A211" s="8">
        <v>44651</v>
      </c>
      <c r="B211">
        <v>6.5</v>
      </c>
    </row>
    <row r="212" spans="1:2" x14ac:dyDescent="0.25">
      <c r="A212" s="8">
        <v>44681</v>
      </c>
      <c r="B212">
        <v>6.2</v>
      </c>
    </row>
    <row r="213" spans="1:2" x14ac:dyDescent="0.25">
      <c r="A213" s="8">
        <v>44712</v>
      </c>
      <c r="B213">
        <v>6</v>
      </c>
    </row>
    <row r="214" spans="1:2" x14ac:dyDescent="0.25">
      <c r="A214" s="8">
        <v>44742</v>
      </c>
      <c r="B214">
        <v>5.9</v>
      </c>
    </row>
    <row r="215" spans="1:2" x14ac:dyDescent="0.25">
      <c r="A215" s="8">
        <v>44773</v>
      </c>
      <c r="B215">
        <v>5.9</v>
      </c>
    </row>
    <row r="216" spans="1:2" x14ac:dyDescent="0.25">
      <c r="A216" s="8">
        <v>44804</v>
      </c>
      <c r="B216">
        <v>6.3</v>
      </c>
    </row>
    <row r="217" spans="1:2" x14ac:dyDescent="0.25">
      <c r="A217" s="8">
        <v>44834</v>
      </c>
      <c r="B217">
        <v>6.6</v>
      </c>
    </row>
    <row r="218" spans="1:2" x14ac:dyDescent="0.25">
      <c r="A218" s="8">
        <v>44865</v>
      </c>
      <c r="B218">
        <v>6.3</v>
      </c>
    </row>
    <row r="219" spans="1:2" x14ac:dyDescent="0.25">
      <c r="A219" s="8">
        <v>44895</v>
      </c>
      <c r="B219">
        <v>6</v>
      </c>
    </row>
    <row r="220" spans="1:2" x14ac:dyDescent="0.25">
      <c r="A220" s="8">
        <v>44926</v>
      </c>
      <c r="B220">
        <v>5.7</v>
      </c>
    </row>
    <row r="221" spans="1:2" x14ac:dyDescent="0.25">
      <c r="A221" s="8">
        <v>44957</v>
      </c>
      <c r="B221">
        <v>5.6</v>
      </c>
    </row>
    <row r="222" spans="1:2" x14ac:dyDescent="0.25">
      <c r="A222" s="8">
        <v>44985</v>
      </c>
      <c r="B222">
        <v>5.5</v>
      </c>
    </row>
    <row r="223" spans="1:2" x14ac:dyDescent="0.25">
      <c r="A223" s="8">
        <v>45016</v>
      </c>
      <c r="B223">
        <v>5.6</v>
      </c>
    </row>
    <row r="224" spans="1:2" x14ac:dyDescent="0.25">
      <c r="A224" s="8">
        <v>45046</v>
      </c>
      <c r="B224">
        <v>5.5</v>
      </c>
    </row>
    <row r="225" spans="1:2" x14ac:dyDescent="0.25">
      <c r="A225" s="8">
        <v>45077</v>
      </c>
      <c r="B225">
        <v>5.3</v>
      </c>
    </row>
    <row r="226" spans="1:2" x14ac:dyDescent="0.25">
      <c r="A226" s="8">
        <v>45107</v>
      </c>
      <c r="B226">
        <v>4.8</v>
      </c>
    </row>
    <row r="227" spans="1:2" x14ac:dyDescent="0.25">
      <c r="A227" s="8">
        <v>45138</v>
      </c>
      <c r="B227">
        <v>4.7</v>
      </c>
    </row>
    <row r="228" spans="1:2" x14ac:dyDescent="0.25">
      <c r="A228" s="8">
        <v>45169</v>
      </c>
      <c r="B228">
        <v>4.3</v>
      </c>
    </row>
    <row r="229" spans="1:2" x14ac:dyDescent="0.25">
      <c r="A229" s="8">
        <v>45199</v>
      </c>
      <c r="B229">
        <v>4.0999999999999996</v>
      </c>
    </row>
    <row r="230" spans="1:2" x14ac:dyDescent="0.25">
      <c r="A230" s="8">
        <v>45230</v>
      </c>
      <c r="B230">
        <v>4</v>
      </c>
    </row>
    <row r="231" spans="1:2" x14ac:dyDescent="0.25">
      <c r="A231" s="8">
        <v>45260</v>
      </c>
      <c r="B231">
        <v>4</v>
      </c>
    </row>
    <row r="232" spans="1:2" x14ac:dyDescent="0.25">
      <c r="A232" s="8">
        <v>45291</v>
      </c>
      <c r="B232">
        <v>3.9</v>
      </c>
    </row>
    <row r="233" spans="1:2" x14ac:dyDescent="0.25">
      <c r="A233" s="8">
        <v>45322</v>
      </c>
      <c r="B233">
        <v>3.9</v>
      </c>
    </row>
    <row r="234" spans="1:2" x14ac:dyDescent="0.25">
      <c r="A234" s="8">
        <v>45351</v>
      </c>
      <c r="B234">
        <v>3.8</v>
      </c>
    </row>
    <row r="235" spans="1:2" x14ac:dyDescent="0.25">
      <c r="A235" s="8">
        <v>45382</v>
      </c>
      <c r="B235">
        <v>3.8</v>
      </c>
    </row>
    <row r="236" spans="1:2" x14ac:dyDescent="0.25">
      <c r="A236" s="8">
        <v>45412</v>
      </c>
      <c r="B236">
        <v>3.6</v>
      </c>
    </row>
    <row r="237" spans="1:2" x14ac:dyDescent="0.25">
      <c r="A237" s="8">
        <v>45443</v>
      </c>
      <c r="B237">
        <v>3.4</v>
      </c>
    </row>
    <row r="238" spans="1:2" x14ac:dyDescent="0.25">
      <c r="A238" s="8">
        <v>45473</v>
      </c>
      <c r="B238">
        <v>3.3</v>
      </c>
    </row>
    <row r="239" spans="1:2" x14ac:dyDescent="0.25">
      <c r="A239" s="8">
        <v>45504</v>
      </c>
      <c r="B239">
        <v>3.2</v>
      </c>
    </row>
    <row r="240" spans="1:2" x14ac:dyDescent="0.25">
      <c r="A240" s="8">
        <v>45535</v>
      </c>
      <c r="B240">
        <v>3.2</v>
      </c>
    </row>
    <row r="241" spans="1:2" x14ac:dyDescent="0.25">
      <c r="A241" s="8">
        <v>45565</v>
      </c>
      <c r="B241">
        <v>3.3</v>
      </c>
    </row>
    <row r="242" spans="1:2" x14ac:dyDescent="0.25">
      <c r="A242" s="8">
        <v>45596</v>
      </c>
      <c r="B242">
        <v>3.3</v>
      </c>
    </row>
    <row r="243" spans="1:2" x14ac:dyDescent="0.25">
      <c r="A243" s="8">
        <v>45626</v>
      </c>
      <c r="B243">
        <v>3.3</v>
      </c>
    </row>
    <row r="244" spans="1:2" x14ac:dyDescent="0.25">
      <c r="A244" s="8">
        <v>45657</v>
      </c>
      <c r="B244">
        <v>3.2</v>
      </c>
    </row>
    <row r="245" spans="1:2" x14ac:dyDescent="0.25">
      <c r="A245" s="8">
        <v>45688</v>
      </c>
      <c r="B245">
        <v>3.3</v>
      </c>
    </row>
    <row r="246" spans="1:2" x14ac:dyDescent="0.25">
      <c r="A246" s="8">
        <v>45716</v>
      </c>
      <c r="B246">
        <v>3.1</v>
      </c>
    </row>
    <row r="247" spans="1:2" x14ac:dyDescent="0.25">
      <c r="A247" s="8">
        <v>45747</v>
      </c>
      <c r="B247">
        <v>2.8</v>
      </c>
    </row>
    <row r="248" spans="1:2" x14ac:dyDescent="0.25">
      <c r="A248" s="8">
        <v>45777</v>
      </c>
      <c r="B248">
        <v>2.8</v>
      </c>
    </row>
    <row r="249" spans="1:2" x14ac:dyDescent="0.25">
      <c r="A249" s="8">
        <v>45808</v>
      </c>
      <c r="B249">
        <v>2.8</v>
      </c>
    </row>
    <row r="250" spans="1:2" x14ac:dyDescent="0.25">
      <c r="A250" s="8">
        <v>45838</v>
      </c>
      <c r="B250">
        <v>2.9</v>
      </c>
    </row>
    <row r="251" spans="1:2" x14ac:dyDescent="0.25">
      <c r="A251" s="8">
        <v>45869</v>
      </c>
      <c r="B251">
        <v>3.1</v>
      </c>
    </row>
    <row r="252" spans="1:2" x14ac:dyDescent="0.25">
      <c r="A252" s="8">
        <v>45900</v>
      </c>
      <c r="B252">
        <v>3.1</v>
      </c>
    </row>
    <row r="253" spans="1:2" x14ac:dyDescent="0.25">
      <c r="A253" s="8">
        <v>45930</v>
      </c>
      <c r="B253">
        <v>3</v>
      </c>
    </row>
    <row r="254" spans="1:2" x14ac:dyDescent="0.25">
      <c r="A254" s="8">
        <v>45991</v>
      </c>
      <c r="B254">
        <v>2.6</v>
      </c>
    </row>
    <row r="255" spans="1:2" x14ac:dyDescent="0.25">
      <c r="A255" s="8">
        <v>46022</v>
      </c>
      <c r="B255">
        <v>2.6</v>
      </c>
    </row>
    <row r="256" spans="1:2" x14ac:dyDescent="0.25">
      <c r="A256" s="8">
        <v>46053</v>
      </c>
      <c r="B256">
        <v>2.5</v>
      </c>
    </row>
    <row r="271" spans="1:4" x14ac:dyDescent="0.25">
      <c r="A271" s="6" t="s">
        <v>253</v>
      </c>
      <c r="B271" s="6" t="s">
        <v>254</v>
      </c>
      <c r="C271" s="6" t="s">
        <v>255</v>
      </c>
      <c r="D271" s="6" t="s">
        <v>54</v>
      </c>
    </row>
    <row r="272" spans="1:4" x14ac:dyDescent="0.25">
      <c r="A272" s="8">
        <f ca="1">_xll.BDH("PCE DEFY Index","PX_LAST","02/01/2016",TODAY(),"Per=M","cols=2;rows=119")</f>
        <v>42400</v>
      </c>
      <c r="B272">
        <v>0.9</v>
      </c>
    </row>
    <row r="273" spans="1:2" x14ac:dyDescent="0.25">
      <c r="A273" s="8">
        <v>42429</v>
      </c>
      <c r="B273">
        <v>0.6</v>
      </c>
    </row>
    <row r="274" spans="1:2" x14ac:dyDescent="0.25">
      <c r="A274" s="8">
        <v>42460</v>
      </c>
      <c r="B274">
        <v>0.7</v>
      </c>
    </row>
    <row r="275" spans="1:2" x14ac:dyDescent="0.25">
      <c r="A275" s="8">
        <v>42490</v>
      </c>
      <c r="B275">
        <v>0.9</v>
      </c>
    </row>
    <row r="276" spans="1:2" x14ac:dyDescent="0.25">
      <c r="A276" s="8">
        <v>42521</v>
      </c>
      <c r="B276">
        <v>0.8</v>
      </c>
    </row>
    <row r="277" spans="1:2" x14ac:dyDescent="0.25">
      <c r="A277" s="8">
        <v>42551</v>
      </c>
      <c r="B277">
        <v>0.8</v>
      </c>
    </row>
    <row r="278" spans="1:2" x14ac:dyDescent="0.25">
      <c r="A278" s="8">
        <v>42582</v>
      </c>
      <c r="B278">
        <v>0.8</v>
      </c>
    </row>
    <row r="279" spans="1:2" x14ac:dyDescent="0.25">
      <c r="A279" s="8">
        <v>42613</v>
      </c>
      <c r="B279">
        <v>0.9</v>
      </c>
    </row>
    <row r="280" spans="1:2" x14ac:dyDescent="0.25">
      <c r="A280" s="8">
        <v>42643</v>
      </c>
      <c r="B280">
        <v>1.2</v>
      </c>
    </row>
    <row r="281" spans="1:2" x14ac:dyDescent="0.25">
      <c r="A281" s="8">
        <v>42674</v>
      </c>
      <c r="B281">
        <v>1.4</v>
      </c>
    </row>
    <row r="282" spans="1:2" x14ac:dyDescent="0.25">
      <c r="A282" s="8">
        <v>42704</v>
      </c>
      <c r="B282">
        <v>1.4</v>
      </c>
    </row>
    <row r="283" spans="1:2" x14ac:dyDescent="0.25">
      <c r="A283" s="8">
        <v>42735</v>
      </c>
      <c r="B283">
        <v>1.7</v>
      </c>
    </row>
    <row r="284" spans="1:2" x14ac:dyDescent="0.25">
      <c r="A284" s="8">
        <v>42766</v>
      </c>
      <c r="B284">
        <v>2</v>
      </c>
    </row>
    <row r="285" spans="1:2" x14ac:dyDescent="0.25">
      <c r="A285" s="8">
        <v>42794</v>
      </c>
      <c r="B285">
        <v>2.2000000000000002</v>
      </c>
    </row>
    <row r="286" spans="1:2" x14ac:dyDescent="0.25">
      <c r="A286" s="8">
        <v>42825</v>
      </c>
      <c r="B286">
        <v>1.9</v>
      </c>
    </row>
    <row r="287" spans="1:2" x14ac:dyDescent="0.25">
      <c r="A287" s="8">
        <v>42855</v>
      </c>
      <c r="B287">
        <v>1.8</v>
      </c>
    </row>
    <row r="288" spans="1:2" x14ac:dyDescent="0.25">
      <c r="A288" s="8">
        <v>42886</v>
      </c>
      <c r="B288">
        <v>1.6</v>
      </c>
    </row>
    <row r="289" spans="1:2" x14ac:dyDescent="0.25">
      <c r="A289" s="8">
        <v>42916</v>
      </c>
      <c r="B289">
        <v>1.5</v>
      </c>
    </row>
    <row r="290" spans="1:2" x14ac:dyDescent="0.25">
      <c r="A290" s="8">
        <v>42947</v>
      </c>
      <c r="B290">
        <v>1.5</v>
      </c>
    </row>
    <row r="291" spans="1:2" x14ac:dyDescent="0.25">
      <c r="A291" s="8">
        <v>42978</v>
      </c>
      <c r="B291">
        <v>1.6</v>
      </c>
    </row>
    <row r="292" spans="1:2" x14ac:dyDescent="0.25">
      <c r="A292" s="8">
        <v>43008</v>
      </c>
      <c r="B292">
        <v>1.8</v>
      </c>
    </row>
    <row r="293" spans="1:2" x14ac:dyDescent="0.25">
      <c r="A293" s="8">
        <v>43039</v>
      </c>
      <c r="B293">
        <v>1.7</v>
      </c>
    </row>
    <row r="294" spans="1:2" x14ac:dyDescent="0.25">
      <c r="A294" s="8">
        <v>43069</v>
      </c>
      <c r="B294">
        <v>1.8</v>
      </c>
    </row>
    <row r="295" spans="1:2" x14ac:dyDescent="0.25">
      <c r="A295" s="8">
        <v>43100</v>
      </c>
      <c r="B295">
        <v>1.8</v>
      </c>
    </row>
    <row r="296" spans="1:2" x14ac:dyDescent="0.25">
      <c r="A296" s="8">
        <v>43131</v>
      </c>
      <c r="B296">
        <v>1.8</v>
      </c>
    </row>
    <row r="297" spans="1:2" x14ac:dyDescent="0.25">
      <c r="A297" s="8">
        <v>43159</v>
      </c>
      <c r="B297">
        <v>1.8</v>
      </c>
    </row>
    <row r="298" spans="1:2" x14ac:dyDescent="0.25">
      <c r="A298" s="8">
        <v>43190</v>
      </c>
      <c r="B298">
        <v>2</v>
      </c>
    </row>
    <row r="299" spans="1:2" x14ac:dyDescent="0.25">
      <c r="A299" s="8">
        <v>43220</v>
      </c>
      <c r="B299">
        <v>2</v>
      </c>
    </row>
    <row r="300" spans="1:2" x14ac:dyDescent="0.25">
      <c r="A300" s="8">
        <v>43251</v>
      </c>
      <c r="B300">
        <v>2.2999999999999998</v>
      </c>
    </row>
    <row r="301" spans="1:2" x14ac:dyDescent="0.25">
      <c r="A301" s="8">
        <v>43281</v>
      </c>
      <c r="B301">
        <v>2.2999999999999998</v>
      </c>
    </row>
    <row r="302" spans="1:2" x14ac:dyDescent="0.25">
      <c r="A302" s="8">
        <v>43312</v>
      </c>
      <c r="B302">
        <v>2.2999999999999998</v>
      </c>
    </row>
    <row r="303" spans="1:2" x14ac:dyDescent="0.25">
      <c r="A303" s="8">
        <v>43343</v>
      </c>
      <c r="B303">
        <v>2.2000000000000002</v>
      </c>
    </row>
    <row r="304" spans="1:2" x14ac:dyDescent="0.25">
      <c r="A304" s="8">
        <v>43373</v>
      </c>
      <c r="B304">
        <v>2</v>
      </c>
    </row>
    <row r="305" spans="1:2" x14ac:dyDescent="0.25">
      <c r="A305" s="8">
        <v>43404</v>
      </c>
      <c r="B305">
        <v>2.1</v>
      </c>
    </row>
    <row r="306" spans="1:2" x14ac:dyDescent="0.25">
      <c r="A306" s="8">
        <v>43434</v>
      </c>
      <c r="B306">
        <v>1.9</v>
      </c>
    </row>
    <row r="307" spans="1:2" x14ac:dyDescent="0.25">
      <c r="A307" s="8">
        <v>43465</v>
      </c>
      <c r="B307">
        <v>1.9</v>
      </c>
    </row>
    <row r="308" spans="1:2" x14ac:dyDescent="0.25">
      <c r="A308" s="8">
        <v>43496</v>
      </c>
      <c r="B308">
        <v>1.4</v>
      </c>
    </row>
    <row r="309" spans="1:2" x14ac:dyDescent="0.25">
      <c r="A309" s="8">
        <v>43524</v>
      </c>
      <c r="B309">
        <v>1.4</v>
      </c>
    </row>
    <row r="310" spans="1:2" x14ac:dyDescent="0.25">
      <c r="A310" s="8">
        <v>43555</v>
      </c>
      <c r="B310">
        <v>1.5</v>
      </c>
    </row>
    <row r="311" spans="1:2" x14ac:dyDescent="0.25">
      <c r="A311" s="8">
        <v>43585</v>
      </c>
      <c r="B311">
        <v>1.6</v>
      </c>
    </row>
    <row r="312" spans="1:2" x14ac:dyDescent="0.25">
      <c r="A312" s="8">
        <v>43616</v>
      </c>
      <c r="B312">
        <v>1.5</v>
      </c>
    </row>
    <row r="313" spans="1:2" x14ac:dyDescent="0.25">
      <c r="A313" s="8">
        <v>43646</v>
      </c>
      <c r="B313">
        <v>1.4</v>
      </c>
    </row>
    <row r="314" spans="1:2" x14ac:dyDescent="0.25">
      <c r="A314" s="8">
        <v>43677</v>
      </c>
      <c r="B314">
        <v>1.5</v>
      </c>
    </row>
    <row r="315" spans="1:2" x14ac:dyDescent="0.25">
      <c r="A315" s="8">
        <v>43708</v>
      </c>
      <c r="B315">
        <v>1.4</v>
      </c>
    </row>
    <row r="316" spans="1:2" x14ac:dyDescent="0.25">
      <c r="A316" s="8">
        <v>43738</v>
      </c>
      <c r="B316">
        <v>1.3</v>
      </c>
    </row>
    <row r="317" spans="1:2" x14ac:dyDescent="0.25">
      <c r="A317" s="8">
        <v>43769</v>
      </c>
      <c r="B317">
        <v>1.3</v>
      </c>
    </row>
    <row r="318" spans="1:2" x14ac:dyDescent="0.25">
      <c r="A318" s="8">
        <v>43799</v>
      </c>
      <c r="B318">
        <v>1.4</v>
      </c>
    </row>
    <row r="319" spans="1:2" x14ac:dyDescent="0.25">
      <c r="A319" s="8">
        <v>43830</v>
      </c>
      <c r="B319">
        <v>1.6</v>
      </c>
    </row>
    <row r="320" spans="1:2" x14ac:dyDescent="0.25">
      <c r="A320" s="8">
        <v>43861</v>
      </c>
      <c r="B320">
        <v>1.8</v>
      </c>
    </row>
    <row r="321" spans="1:2" x14ac:dyDescent="0.25">
      <c r="A321" s="8">
        <v>43890</v>
      </c>
      <c r="B321">
        <v>1.7</v>
      </c>
    </row>
    <row r="322" spans="1:2" x14ac:dyDescent="0.25">
      <c r="A322" s="8">
        <v>43921</v>
      </c>
      <c r="B322">
        <v>1.2</v>
      </c>
    </row>
    <row r="323" spans="1:2" x14ac:dyDescent="0.25">
      <c r="A323" s="8">
        <v>43951</v>
      </c>
      <c r="B323">
        <v>0.5</v>
      </c>
    </row>
    <row r="324" spans="1:2" x14ac:dyDescent="0.25">
      <c r="A324" s="8">
        <v>43982</v>
      </c>
      <c r="B324">
        <v>0.5</v>
      </c>
    </row>
    <row r="325" spans="1:2" x14ac:dyDescent="0.25">
      <c r="A325" s="8">
        <v>44012</v>
      </c>
      <c r="B325">
        <v>0.8</v>
      </c>
    </row>
    <row r="326" spans="1:2" x14ac:dyDescent="0.25">
      <c r="A326" s="8">
        <v>44043</v>
      </c>
      <c r="B326">
        <v>0.9</v>
      </c>
    </row>
    <row r="327" spans="1:2" x14ac:dyDescent="0.25">
      <c r="A327" s="8">
        <v>44074</v>
      </c>
      <c r="B327">
        <v>1.2</v>
      </c>
    </row>
    <row r="328" spans="1:2" x14ac:dyDescent="0.25">
      <c r="A328" s="8">
        <v>44104</v>
      </c>
      <c r="B328">
        <v>1.3</v>
      </c>
    </row>
    <row r="329" spans="1:2" x14ac:dyDescent="0.25">
      <c r="A329" s="8">
        <v>44135</v>
      </c>
      <c r="B329">
        <v>1.2</v>
      </c>
    </row>
    <row r="330" spans="1:2" x14ac:dyDescent="0.25">
      <c r="A330" s="8">
        <v>44165</v>
      </c>
      <c r="B330">
        <v>1.2</v>
      </c>
    </row>
    <row r="331" spans="1:2" x14ac:dyDescent="0.25">
      <c r="A331" s="8">
        <v>44196</v>
      </c>
      <c r="B331">
        <v>1.3</v>
      </c>
    </row>
    <row r="332" spans="1:2" x14ac:dyDescent="0.25">
      <c r="A332" s="8">
        <v>44227</v>
      </c>
      <c r="B332">
        <v>1.6</v>
      </c>
    </row>
    <row r="333" spans="1:2" x14ac:dyDescent="0.25">
      <c r="A333" s="8">
        <v>44255</v>
      </c>
      <c r="B333">
        <v>1.8</v>
      </c>
    </row>
    <row r="334" spans="1:2" x14ac:dyDescent="0.25">
      <c r="A334" s="8">
        <v>44286</v>
      </c>
      <c r="B334">
        <v>2.7</v>
      </c>
    </row>
    <row r="335" spans="1:2" x14ac:dyDescent="0.25">
      <c r="A335" s="8">
        <v>44316</v>
      </c>
      <c r="B335">
        <v>3.6</v>
      </c>
    </row>
    <row r="336" spans="1:2" x14ac:dyDescent="0.25">
      <c r="A336" s="8">
        <v>44347</v>
      </c>
      <c r="B336">
        <v>4.0999999999999996</v>
      </c>
    </row>
    <row r="337" spans="1:2" x14ac:dyDescent="0.25">
      <c r="A337" s="8">
        <v>44377</v>
      </c>
      <c r="B337">
        <v>4.3</v>
      </c>
    </row>
    <row r="338" spans="1:2" x14ac:dyDescent="0.25">
      <c r="A338" s="8">
        <v>44408</v>
      </c>
      <c r="B338">
        <v>4.5</v>
      </c>
    </row>
    <row r="339" spans="1:2" x14ac:dyDescent="0.25">
      <c r="A339" s="8">
        <v>44439</v>
      </c>
      <c r="B339">
        <v>4.5999999999999996</v>
      </c>
    </row>
    <row r="340" spans="1:2" x14ac:dyDescent="0.25">
      <c r="A340" s="8">
        <v>44469</v>
      </c>
      <c r="B340">
        <v>4.7</v>
      </c>
    </row>
    <row r="341" spans="1:2" x14ac:dyDescent="0.25">
      <c r="A341" s="8">
        <v>44500</v>
      </c>
      <c r="B341">
        <v>5.3</v>
      </c>
    </row>
    <row r="342" spans="1:2" x14ac:dyDescent="0.25">
      <c r="A342" s="8">
        <v>44530</v>
      </c>
      <c r="B342">
        <v>5.9</v>
      </c>
    </row>
    <row r="343" spans="1:2" x14ac:dyDescent="0.25">
      <c r="A343" s="8">
        <v>44561</v>
      </c>
      <c r="B343">
        <v>6.1</v>
      </c>
    </row>
    <row r="344" spans="1:2" x14ac:dyDescent="0.25">
      <c r="A344" s="8">
        <v>44592</v>
      </c>
      <c r="B344">
        <v>6.3</v>
      </c>
    </row>
    <row r="345" spans="1:2" x14ac:dyDescent="0.25">
      <c r="A345" s="8">
        <v>44620</v>
      </c>
      <c r="B345">
        <v>6.5</v>
      </c>
    </row>
    <row r="346" spans="1:2" x14ac:dyDescent="0.25">
      <c r="A346" s="8">
        <v>44651</v>
      </c>
      <c r="B346">
        <v>6.9</v>
      </c>
    </row>
    <row r="347" spans="1:2" x14ac:dyDescent="0.25">
      <c r="A347" s="8">
        <v>44681</v>
      </c>
      <c r="B347">
        <v>6.7</v>
      </c>
    </row>
    <row r="348" spans="1:2" x14ac:dyDescent="0.25">
      <c r="A348" s="8">
        <v>44712</v>
      </c>
      <c r="B348">
        <v>6.8</v>
      </c>
    </row>
    <row r="349" spans="1:2" x14ac:dyDescent="0.25">
      <c r="A349" s="8">
        <v>44742</v>
      </c>
      <c r="B349">
        <v>7.2</v>
      </c>
    </row>
    <row r="350" spans="1:2" x14ac:dyDescent="0.25">
      <c r="A350" s="8">
        <v>44773</v>
      </c>
      <c r="B350">
        <v>6.8</v>
      </c>
    </row>
    <row r="351" spans="1:2" x14ac:dyDescent="0.25">
      <c r="A351" s="8">
        <v>44804</v>
      </c>
      <c r="B351">
        <v>6.6</v>
      </c>
    </row>
    <row r="352" spans="1:2" x14ac:dyDescent="0.25">
      <c r="A352" s="8">
        <v>44834</v>
      </c>
      <c r="B352">
        <v>6.7</v>
      </c>
    </row>
    <row r="353" spans="1:2" x14ac:dyDescent="0.25">
      <c r="A353" s="8">
        <v>44865</v>
      </c>
      <c r="B353">
        <v>6.5</v>
      </c>
    </row>
    <row r="354" spans="1:2" x14ac:dyDescent="0.25">
      <c r="A354" s="8">
        <v>44895</v>
      </c>
      <c r="B354">
        <v>6</v>
      </c>
    </row>
    <row r="355" spans="1:2" x14ac:dyDescent="0.25">
      <c r="A355" s="8">
        <v>44926</v>
      </c>
      <c r="B355">
        <v>5.5</v>
      </c>
    </row>
    <row r="356" spans="1:2" x14ac:dyDescent="0.25">
      <c r="A356" s="8">
        <v>44957</v>
      </c>
      <c r="B356">
        <v>5.5</v>
      </c>
    </row>
    <row r="357" spans="1:2" x14ac:dyDescent="0.25">
      <c r="A357" s="8">
        <v>44985</v>
      </c>
      <c r="B357">
        <v>5.2</v>
      </c>
    </row>
    <row r="358" spans="1:2" x14ac:dyDescent="0.25">
      <c r="A358" s="8">
        <v>45016</v>
      </c>
      <c r="B358">
        <v>4.4000000000000004</v>
      </c>
    </row>
    <row r="359" spans="1:2" x14ac:dyDescent="0.25">
      <c r="A359" s="8">
        <v>45046</v>
      </c>
      <c r="B359">
        <v>4.5</v>
      </c>
    </row>
    <row r="360" spans="1:2" x14ac:dyDescent="0.25">
      <c r="A360" s="8">
        <v>45077</v>
      </c>
      <c r="B360">
        <v>4</v>
      </c>
    </row>
    <row r="361" spans="1:2" x14ac:dyDescent="0.25">
      <c r="A361" s="8">
        <v>45107</v>
      </c>
      <c r="B361">
        <v>3.3</v>
      </c>
    </row>
    <row r="362" spans="1:2" x14ac:dyDescent="0.25">
      <c r="A362" s="8">
        <v>45138</v>
      </c>
      <c r="B362">
        <v>3.4</v>
      </c>
    </row>
    <row r="363" spans="1:2" x14ac:dyDescent="0.25">
      <c r="A363" s="8">
        <v>45169</v>
      </c>
      <c r="B363">
        <v>3.4</v>
      </c>
    </row>
    <row r="364" spans="1:2" x14ac:dyDescent="0.25">
      <c r="A364" s="8">
        <v>45199</v>
      </c>
      <c r="B364">
        <v>3.4</v>
      </c>
    </row>
    <row r="365" spans="1:2" x14ac:dyDescent="0.25">
      <c r="A365" s="8">
        <v>45230</v>
      </c>
      <c r="B365">
        <v>3</v>
      </c>
    </row>
    <row r="366" spans="1:2" x14ac:dyDescent="0.25">
      <c r="A366" s="8">
        <v>45260</v>
      </c>
      <c r="B366">
        <v>2.8</v>
      </c>
    </row>
    <row r="367" spans="1:2" x14ac:dyDescent="0.25">
      <c r="A367" s="8">
        <v>45291</v>
      </c>
      <c r="B367">
        <v>2.8</v>
      </c>
    </row>
    <row r="368" spans="1:2" x14ac:dyDescent="0.25">
      <c r="A368" s="8">
        <v>45322</v>
      </c>
      <c r="B368">
        <v>2.7</v>
      </c>
    </row>
    <row r="369" spans="1:2" x14ac:dyDescent="0.25">
      <c r="A369" s="8">
        <v>45351</v>
      </c>
      <c r="B369">
        <v>2.7</v>
      </c>
    </row>
    <row r="370" spans="1:2" x14ac:dyDescent="0.25">
      <c r="A370" s="8">
        <v>45382</v>
      </c>
      <c r="B370">
        <v>2.9</v>
      </c>
    </row>
    <row r="371" spans="1:2" x14ac:dyDescent="0.25">
      <c r="A371" s="8">
        <v>45412</v>
      </c>
      <c r="B371">
        <v>2.8</v>
      </c>
    </row>
    <row r="372" spans="1:2" x14ac:dyDescent="0.25">
      <c r="A372" s="8">
        <v>45443</v>
      </c>
      <c r="B372">
        <v>2.7</v>
      </c>
    </row>
    <row r="373" spans="1:2" x14ac:dyDescent="0.25">
      <c r="A373" s="8">
        <v>45473</v>
      </c>
      <c r="B373">
        <v>2.5</v>
      </c>
    </row>
    <row r="374" spans="1:2" x14ac:dyDescent="0.25">
      <c r="A374" s="8">
        <v>45504</v>
      </c>
      <c r="B374">
        <v>2.6</v>
      </c>
    </row>
    <row r="375" spans="1:2" x14ac:dyDescent="0.25">
      <c r="A375" s="8">
        <v>45535</v>
      </c>
      <c r="B375">
        <v>2.4</v>
      </c>
    </row>
    <row r="376" spans="1:2" x14ac:dyDescent="0.25">
      <c r="A376" s="8">
        <v>45565</v>
      </c>
      <c r="B376">
        <v>2.2999999999999998</v>
      </c>
    </row>
    <row r="377" spans="1:2" x14ac:dyDescent="0.25">
      <c r="A377" s="8">
        <v>45596</v>
      </c>
      <c r="B377">
        <v>2.5</v>
      </c>
    </row>
    <row r="378" spans="1:2" x14ac:dyDescent="0.25">
      <c r="A378" s="8">
        <v>45626</v>
      </c>
      <c r="B378">
        <v>2.6</v>
      </c>
    </row>
    <row r="379" spans="1:2" x14ac:dyDescent="0.25">
      <c r="A379" s="8">
        <v>45657</v>
      </c>
      <c r="B379">
        <v>2.7</v>
      </c>
    </row>
    <row r="380" spans="1:2" x14ac:dyDescent="0.25">
      <c r="A380" s="8">
        <v>45688</v>
      </c>
      <c r="B380">
        <v>2.6</v>
      </c>
    </row>
    <row r="381" spans="1:2" x14ac:dyDescent="0.25">
      <c r="A381" s="8">
        <v>45716</v>
      </c>
      <c r="B381">
        <v>2.7</v>
      </c>
    </row>
    <row r="382" spans="1:2" x14ac:dyDescent="0.25">
      <c r="A382" s="8">
        <v>45747</v>
      </c>
      <c r="B382">
        <v>2.4</v>
      </c>
    </row>
    <row r="383" spans="1:2" x14ac:dyDescent="0.25">
      <c r="A383" s="8">
        <v>45777</v>
      </c>
      <c r="B383">
        <v>2.2999999999999998</v>
      </c>
    </row>
    <row r="384" spans="1:2" x14ac:dyDescent="0.25">
      <c r="A384" s="8">
        <v>45808</v>
      </c>
      <c r="B384">
        <v>2.5</v>
      </c>
    </row>
    <row r="385" spans="1:2" x14ac:dyDescent="0.25">
      <c r="A385" s="8">
        <v>45838</v>
      </c>
      <c r="B385">
        <v>2.6</v>
      </c>
    </row>
    <row r="386" spans="1:2" x14ac:dyDescent="0.25">
      <c r="A386" s="8">
        <v>45869</v>
      </c>
      <c r="B386">
        <v>2.6</v>
      </c>
    </row>
    <row r="387" spans="1:2" x14ac:dyDescent="0.25">
      <c r="A387" s="8">
        <v>45900</v>
      </c>
      <c r="B387">
        <v>2.7</v>
      </c>
    </row>
    <row r="388" spans="1:2" x14ac:dyDescent="0.25">
      <c r="A388" s="8">
        <v>45930</v>
      </c>
      <c r="B388">
        <v>2.8</v>
      </c>
    </row>
    <row r="389" spans="1:2" x14ac:dyDescent="0.25">
      <c r="A389" s="8">
        <v>45961</v>
      </c>
      <c r="B389">
        <v>2.7</v>
      </c>
    </row>
    <row r="390" spans="1:2" x14ac:dyDescent="0.25">
      <c r="A390" s="8">
        <v>45991</v>
      </c>
      <c r="B390">
        <v>2.8</v>
      </c>
    </row>
    <row r="406" spans="1:4" x14ac:dyDescent="0.25">
      <c r="A406" s="6" t="s">
        <v>256</v>
      </c>
      <c r="B406" s="6" t="s">
        <v>257</v>
      </c>
      <c r="C406" s="6" t="s">
        <v>258</v>
      </c>
      <c r="D406" s="6" t="s">
        <v>54</v>
      </c>
    </row>
    <row r="407" spans="1:4" x14ac:dyDescent="0.25">
      <c r="A407" s="8">
        <f ca="1">_xll.BDH("PCE CYOY Index","PX_LAST","02/01/2016",TODAY(),"Per=M","cols=2;rows=119")</f>
        <v>42400</v>
      </c>
      <c r="B407">
        <v>1.4062399999999999</v>
      </c>
    </row>
    <row r="408" spans="1:4" x14ac:dyDescent="0.25">
      <c r="A408" s="8">
        <v>42429</v>
      </c>
      <c r="B408">
        <v>1.4658899999999999</v>
      </c>
    </row>
    <row r="409" spans="1:4" x14ac:dyDescent="0.25">
      <c r="A409" s="8">
        <v>42460</v>
      </c>
      <c r="B409">
        <v>1.4574499999999999</v>
      </c>
    </row>
    <row r="410" spans="1:4" x14ac:dyDescent="0.25">
      <c r="A410" s="8">
        <v>42490</v>
      </c>
      <c r="B410">
        <v>1.5199400000000001</v>
      </c>
    </row>
    <row r="411" spans="1:4" x14ac:dyDescent="0.25">
      <c r="A411" s="8">
        <v>42521</v>
      </c>
      <c r="B411">
        <v>1.56873</v>
      </c>
    </row>
    <row r="412" spans="1:4" x14ac:dyDescent="0.25">
      <c r="A412" s="8">
        <v>42551</v>
      </c>
      <c r="B412">
        <v>1.5524</v>
      </c>
    </row>
    <row r="413" spans="1:4" x14ac:dyDescent="0.25">
      <c r="A413" s="8">
        <v>42582</v>
      </c>
      <c r="B413">
        <v>1.5993299999999999</v>
      </c>
    </row>
    <row r="414" spans="1:4" x14ac:dyDescent="0.25">
      <c r="A414" s="8">
        <v>42613</v>
      </c>
      <c r="B414">
        <v>1.69696</v>
      </c>
    </row>
    <row r="415" spans="1:4" x14ac:dyDescent="0.25">
      <c r="A415" s="8">
        <v>42643</v>
      </c>
      <c r="B415">
        <v>1.68526</v>
      </c>
    </row>
    <row r="416" spans="1:4" x14ac:dyDescent="0.25">
      <c r="A416" s="8">
        <v>42674</v>
      </c>
      <c r="B416">
        <v>1.78241</v>
      </c>
    </row>
    <row r="417" spans="1:2" x14ac:dyDescent="0.25">
      <c r="A417" s="8">
        <v>42704</v>
      </c>
      <c r="B417">
        <v>1.7188600000000001</v>
      </c>
    </row>
    <row r="418" spans="1:2" x14ac:dyDescent="0.25">
      <c r="A418" s="8">
        <v>42735</v>
      </c>
      <c r="B418">
        <v>1.7700899999999999</v>
      </c>
    </row>
    <row r="419" spans="1:2" x14ac:dyDescent="0.25">
      <c r="A419" s="8">
        <v>42766</v>
      </c>
      <c r="B419">
        <v>1.86334</v>
      </c>
    </row>
    <row r="420" spans="1:2" x14ac:dyDescent="0.25">
      <c r="A420" s="8">
        <v>42794</v>
      </c>
      <c r="B420">
        <v>1.86727</v>
      </c>
    </row>
    <row r="421" spans="1:2" x14ac:dyDescent="0.25">
      <c r="A421" s="8">
        <v>42825</v>
      </c>
      <c r="B421">
        <v>1.67865</v>
      </c>
    </row>
    <row r="422" spans="1:2" x14ac:dyDescent="0.25">
      <c r="A422" s="8">
        <v>42855</v>
      </c>
      <c r="B422">
        <v>1.6368199999999999</v>
      </c>
    </row>
    <row r="423" spans="1:2" x14ac:dyDescent="0.25">
      <c r="A423" s="8">
        <v>42886</v>
      </c>
      <c r="B423">
        <v>1.5455300000000001</v>
      </c>
    </row>
    <row r="424" spans="1:2" x14ac:dyDescent="0.25">
      <c r="A424" s="8">
        <v>42916</v>
      </c>
      <c r="B424">
        <v>1.5764400000000001</v>
      </c>
    </row>
    <row r="425" spans="1:2" x14ac:dyDescent="0.25">
      <c r="A425" s="8">
        <v>42947</v>
      </c>
      <c r="B425">
        <v>1.5031099999999999</v>
      </c>
    </row>
    <row r="426" spans="1:2" x14ac:dyDescent="0.25">
      <c r="A426" s="8">
        <v>42978</v>
      </c>
      <c r="B426">
        <v>1.4335899999999999</v>
      </c>
    </row>
    <row r="427" spans="1:2" x14ac:dyDescent="0.25">
      <c r="A427" s="8">
        <v>43008</v>
      </c>
      <c r="B427">
        <v>1.42259</v>
      </c>
    </row>
    <row r="428" spans="1:2" x14ac:dyDescent="0.25">
      <c r="A428" s="8">
        <v>43039</v>
      </c>
      <c r="B428">
        <v>1.54101</v>
      </c>
    </row>
    <row r="429" spans="1:2" x14ac:dyDescent="0.25">
      <c r="A429" s="8">
        <v>43069</v>
      </c>
      <c r="B429">
        <v>1.54538</v>
      </c>
    </row>
    <row r="430" spans="1:2" x14ac:dyDescent="0.25">
      <c r="A430" s="8">
        <v>43100</v>
      </c>
      <c r="B430">
        <v>1.57687</v>
      </c>
    </row>
    <row r="431" spans="1:2" x14ac:dyDescent="0.25">
      <c r="A431" s="8">
        <v>43131</v>
      </c>
      <c r="B431">
        <v>1.6320399999999999</v>
      </c>
    </row>
    <row r="432" spans="1:2" x14ac:dyDescent="0.25">
      <c r="A432" s="8">
        <v>43159</v>
      </c>
      <c r="B432">
        <v>1.64422</v>
      </c>
    </row>
    <row r="433" spans="1:2" x14ac:dyDescent="0.25">
      <c r="A433" s="8">
        <v>43190</v>
      </c>
      <c r="B433">
        <v>1.9091800000000001</v>
      </c>
    </row>
    <row r="434" spans="1:2" x14ac:dyDescent="0.25">
      <c r="A434" s="8">
        <v>43220</v>
      </c>
      <c r="B434">
        <v>1.88422</v>
      </c>
    </row>
    <row r="435" spans="1:2" x14ac:dyDescent="0.25">
      <c r="A435" s="8">
        <v>43251</v>
      </c>
      <c r="B435">
        <v>1.9809000000000001</v>
      </c>
    </row>
    <row r="436" spans="1:2" x14ac:dyDescent="0.25">
      <c r="A436" s="8">
        <v>43281</v>
      </c>
      <c r="B436">
        <v>1.9362299999999999</v>
      </c>
    </row>
    <row r="437" spans="1:2" x14ac:dyDescent="0.25">
      <c r="A437" s="8">
        <v>43312</v>
      </c>
      <c r="B437">
        <v>1.9958</v>
      </c>
    </row>
    <row r="438" spans="1:2" x14ac:dyDescent="0.25">
      <c r="A438" s="8">
        <v>43343</v>
      </c>
      <c r="B438">
        <v>1.89577</v>
      </c>
    </row>
    <row r="439" spans="1:2" x14ac:dyDescent="0.25">
      <c r="A439" s="8">
        <v>43373</v>
      </c>
      <c r="B439">
        <v>1.9602999999999999</v>
      </c>
    </row>
    <row r="440" spans="1:2" x14ac:dyDescent="0.25">
      <c r="A440" s="8">
        <v>43404</v>
      </c>
      <c r="B440">
        <v>1.8709</v>
      </c>
    </row>
    <row r="441" spans="1:2" x14ac:dyDescent="0.25">
      <c r="A441" s="8">
        <v>43434</v>
      </c>
      <c r="B441">
        <v>2.01024</v>
      </c>
    </row>
    <row r="442" spans="1:2" x14ac:dyDescent="0.25">
      <c r="A442" s="8">
        <v>43465</v>
      </c>
      <c r="B442">
        <v>2.0380799999999999</v>
      </c>
    </row>
    <row r="443" spans="1:2" x14ac:dyDescent="0.25">
      <c r="A443" s="8">
        <v>43496</v>
      </c>
      <c r="B443">
        <v>1.84443</v>
      </c>
    </row>
    <row r="444" spans="1:2" x14ac:dyDescent="0.25">
      <c r="A444" s="8">
        <v>43524</v>
      </c>
      <c r="B444">
        <v>1.74411</v>
      </c>
    </row>
    <row r="445" spans="1:2" x14ac:dyDescent="0.25">
      <c r="A445" s="8">
        <v>43555</v>
      </c>
      <c r="B445">
        <v>1.6160699999999999</v>
      </c>
    </row>
    <row r="446" spans="1:2" x14ac:dyDescent="0.25">
      <c r="A446" s="8">
        <v>43585</v>
      </c>
      <c r="B446">
        <v>1.6367799999999999</v>
      </c>
    </row>
    <row r="447" spans="1:2" x14ac:dyDescent="0.25">
      <c r="A447" s="8">
        <v>43616</v>
      </c>
      <c r="B447">
        <v>1.56318</v>
      </c>
    </row>
    <row r="448" spans="1:2" x14ac:dyDescent="0.25">
      <c r="A448" s="8">
        <v>43646</v>
      </c>
      <c r="B448">
        <v>1.6569799999999999</v>
      </c>
    </row>
    <row r="449" spans="1:2" x14ac:dyDescent="0.25">
      <c r="A449" s="8">
        <v>43677</v>
      </c>
      <c r="B449">
        <v>1.6391199999999999</v>
      </c>
    </row>
    <row r="450" spans="1:2" x14ac:dyDescent="0.25">
      <c r="A450" s="8">
        <v>43708</v>
      </c>
      <c r="B450">
        <v>1.7458</v>
      </c>
    </row>
    <row r="451" spans="1:2" x14ac:dyDescent="0.25">
      <c r="A451" s="8">
        <v>43738</v>
      </c>
      <c r="B451">
        <v>1.63201</v>
      </c>
    </row>
    <row r="452" spans="1:2" x14ac:dyDescent="0.25">
      <c r="A452" s="8">
        <v>43769</v>
      </c>
      <c r="B452">
        <v>1.6235900000000001</v>
      </c>
    </row>
    <row r="453" spans="1:2" x14ac:dyDescent="0.25">
      <c r="A453" s="8">
        <v>43799</v>
      </c>
      <c r="B453">
        <v>1.4977199999999999</v>
      </c>
    </row>
    <row r="454" spans="1:2" x14ac:dyDescent="0.25">
      <c r="A454" s="8">
        <v>43830</v>
      </c>
      <c r="B454">
        <v>1.5447500000000001</v>
      </c>
    </row>
    <row r="455" spans="1:2" x14ac:dyDescent="0.25">
      <c r="A455" s="8">
        <v>43861</v>
      </c>
      <c r="B455">
        <v>1.5913299999999999</v>
      </c>
    </row>
    <row r="456" spans="1:2" x14ac:dyDescent="0.25">
      <c r="A456" s="8">
        <v>43890</v>
      </c>
      <c r="B456">
        <v>1.6977</v>
      </c>
    </row>
    <row r="457" spans="1:2" x14ac:dyDescent="0.25">
      <c r="A457" s="8">
        <v>43921</v>
      </c>
      <c r="B457">
        <v>1.5273000000000001</v>
      </c>
    </row>
    <row r="458" spans="1:2" x14ac:dyDescent="0.25">
      <c r="A458" s="8">
        <v>43951</v>
      </c>
      <c r="B458">
        <v>0.99550000000000005</v>
      </c>
    </row>
    <row r="459" spans="1:2" x14ac:dyDescent="0.25">
      <c r="A459" s="8">
        <v>43982</v>
      </c>
      <c r="B459">
        <v>0.99738000000000004</v>
      </c>
    </row>
    <row r="460" spans="1:2" x14ac:dyDescent="0.25">
      <c r="A460" s="8">
        <v>44012</v>
      </c>
      <c r="B460">
        <v>0.97045999999999999</v>
      </c>
    </row>
    <row r="461" spans="1:2" x14ac:dyDescent="0.25">
      <c r="A461" s="8">
        <v>44043</v>
      </c>
      <c r="B461">
        <v>1.2143299999999999</v>
      </c>
    </row>
    <row r="462" spans="1:2" x14ac:dyDescent="0.25">
      <c r="A462" s="8">
        <v>44074</v>
      </c>
      <c r="B462">
        <v>1.3931</v>
      </c>
    </row>
    <row r="463" spans="1:2" x14ac:dyDescent="0.25">
      <c r="A463" s="8">
        <v>44104</v>
      </c>
      <c r="B463">
        <v>1.4796899999999999</v>
      </c>
    </row>
    <row r="464" spans="1:2" x14ac:dyDescent="0.25">
      <c r="A464" s="8">
        <v>44135</v>
      </c>
      <c r="B464">
        <v>1.42174</v>
      </c>
    </row>
    <row r="465" spans="1:2" x14ac:dyDescent="0.25">
      <c r="A465" s="8">
        <v>44165</v>
      </c>
      <c r="B465">
        <v>1.4535199999999999</v>
      </c>
    </row>
    <row r="466" spans="1:2" x14ac:dyDescent="0.25">
      <c r="A466" s="8">
        <v>44196</v>
      </c>
      <c r="B466">
        <v>1.5087999999999999</v>
      </c>
    </row>
    <row r="467" spans="1:2" x14ac:dyDescent="0.25">
      <c r="A467" s="8">
        <v>44227</v>
      </c>
      <c r="B467">
        <v>1.6974899999999999</v>
      </c>
    </row>
    <row r="468" spans="1:2" x14ac:dyDescent="0.25">
      <c r="A468" s="8">
        <v>44255</v>
      </c>
      <c r="B468">
        <v>1.70947</v>
      </c>
    </row>
    <row r="469" spans="1:2" x14ac:dyDescent="0.25">
      <c r="A469" s="8">
        <v>44286</v>
      </c>
      <c r="B469">
        <v>2.1991299999999998</v>
      </c>
    </row>
    <row r="470" spans="1:2" x14ac:dyDescent="0.25">
      <c r="A470" s="8">
        <v>44316</v>
      </c>
      <c r="B470">
        <v>3.1305999999999998</v>
      </c>
    </row>
    <row r="471" spans="1:2" x14ac:dyDescent="0.25">
      <c r="A471" s="8">
        <v>44347</v>
      </c>
      <c r="B471">
        <v>3.5411199999999998</v>
      </c>
    </row>
    <row r="472" spans="1:2" x14ac:dyDescent="0.25">
      <c r="A472" s="8">
        <v>44377</v>
      </c>
      <c r="B472">
        <v>3.86171</v>
      </c>
    </row>
    <row r="473" spans="1:2" x14ac:dyDescent="0.25">
      <c r="A473" s="8">
        <v>44408</v>
      </c>
      <c r="B473">
        <v>3.9271199999999999</v>
      </c>
    </row>
    <row r="474" spans="1:2" x14ac:dyDescent="0.25">
      <c r="A474" s="8">
        <v>44439</v>
      </c>
      <c r="B474">
        <v>3.9584600000000001</v>
      </c>
    </row>
    <row r="475" spans="1:2" x14ac:dyDescent="0.25">
      <c r="A475" s="8">
        <v>44469</v>
      </c>
      <c r="B475">
        <v>4.0138499999999997</v>
      </c>
    </row>
    <row r="476" spans="1:2" x14ac:dyDescent="0.25">
      <c r="A476" s="8">
        <v>44500</v>
      </c>
      <c r="B476">
        <v>4.4366700000000003</v>
      </c>
    </row>
    <row r="477" spans="1:2" x14ac:dyDescent="0.25">
      <c r="A477" s="8">
        <v>44530</v>
      </c>
      <c r="B477">
        <v>4.89086</v>
      </c>
    </row>
    <row r="478" spans="1:2" x14ac:dyDescent="0.25">
      <c r="A478" s="8">
        <v>44561</v>
      </c>
      <c r="B478">
        <v>5.21455</v>
      </c>
    </row>
    <row r="479" spans="1:2" x14ac:dyDescent="0.25">
      <c r="A479" s="8">
        <v>44592</v>
      </c>
      <c r="B479">
        <v>5.3584399999999999</v>
      </c>
    </row>
    <row r="480" spans="1:2" x14ac:dyDescent="0.25">
      <c r="A480" s="8">
        <v>44620</v>
      </c>
      <c r="B480">
        <v>5.6027699999999996</v>
      </c>
    </row>
    <row r="481" spans="1:2" x14ac:dyDescent="0.25">
      <c r="A481" s="8">
        <v>44651</v>
      </c>
      <c r="B481">
        <v>5.5932199999999996</v>
      </c>
    </row>
    <row r="482" spans="1:2" x14ac:dyDescent="0.25">
      <c r="A482" s="8">
        <v>44681</v>
      </c>
      <c r="B482">
        <v>5.3450199999999999</v>
      </c>
    </row>
    <row r="483" spans="1:2" x14ac:dyDescent="0.25">
      <c r="A483" s="8">
        <v>44712</v>
      </c>
      <c r="B483">
        <v>5.1841400000000002</v>
      </c>
    </row>
    <row r="484" spans="1:2" x14ac:dyDescent="0.25">
      <c r="A484" s="8">
        <v>44742</v>
      </c>
      <c r="B484">
        <v>5.31569</v>
      </c>
    </row>
    <row r="485" spans="1:2" x14ac:dyDescent="0.25">
      <c r="A485" s="8">
        <v>44773</v>
      </c>
      <c r="B485">
        <v>5.1073700000000004</v>
      </c>
    </row>
    <row r="486" spans="1:2" x14ac:dyDescent="0.25">
      <c r="A486" s="8">
        <v>44804</v>
      </c>
      <c r="B486">
        <v>5.3624499999999999</v>
      </c>
    </row>
    <row r="487" spans="1:2" x14ac:dyDescent="0.25">
      <c r="A487" s="8">
        <v>44834</v>
      </c>
      <c r="B487">
        <v>5.6064800000000004</v>
      </c>
    </row>
    <row r="488" spans="1:2" x14ac:dyDescent="0.25">
      <c r="A488" s="8">
        <v>44865</v>
      </c>
      <c r="B488">
        <v>5.4597600000000002</v>
      </c>
    </row>
    <row r="489" spans="1:2" x14ac:dyDescent="0.25">
      <c r="A489" s="8">
        <v>44895</v>
      </c>
      <c r="B489">
        <v>5.2080900000000003</v>
      </c>
    </row>
    <row r="490" spans="1:2" x14ac:dyDescent="0.25">
      <c r="A490" s="8">
        <v>44926</v>
      </c>
      <c r="B490">
        <v>4.9668900000000002</v>
      </c>
    </row>
    <row r="491" spans="1:2" x14ac:dyDescent="0.25">
      <c r="A491" s="8">
        <v>44957</v>
      </c>
      <c r="B491">
        <v>4.9376600000000002</v>
      </c>
    </row>
    <row r="492" spans="1:2" x14ac:dyDescent="0.25">
      <c r="A492" s="8">
        <v>44985</v>
      </c>
      <c r="B492">
        <v>4.8555999999999999</v>
      </c>
    </row>
    <row r="493" spans="1:2" x14ac:dyDescent="0.25">
      <c r="A493" s="8">
        <v>45016</v>
      </c>
      <c r="B493">
        <v>4.78329</v>
      </c>
    </row>
    <row r="494" spans="1:2" x14ac:dyDescent="0.25">
      <c r="A494" s="8">
        <v>45046</v>
      </c>
      <c r="B494">
        <v>4.7896400000000003</v>
      </c>
    </row>
    <row r="495" spans="1:2" x14ac:dyDescent="0.25">
      <c r="A495" s="8">
        <v>45077</v>
      </c>
      <c r="B495">
        <v>4.7316200000000004</v>
      </c>
    </row>
    <row r="496" spans="1:2" x14ac:dyDescent="0.25">
      <c r="A496" s="8">
        <v>45107</v>
      </c>
      <c r="B496">
        <v>4.3837900000000003</v>
      </c>
    </row>
    <row r="497" spans="1:2" x14ac:dyDescent="0.25">
      <c r="A497" s="8">
        <v>45138</v>
      </c>
      <c r="B497">
        <v>4.2991299999999999</v>
      </c>
    </row>
    <row r="498" spans="1:2" x14ac:dyDescent="0.25">
      <c r="A498" s="8">
        <v>45169</v>
      </c>
      <c r="B498">
        <v>3.8282099999999999</v>
      </c>
    </row>
    <row r="499" spans="1:2" x14ac:dyDescent="0.25">
      <c r="A499" s="8">
        <v>45199</v>
      </c>
      <c r="B499">
        <v>3.68777</v>
      </c>
    </row>
    <row r="500" spans="1:2" x14ac:dyDescent="0.25">
      <c r="A500" s="8">
        <v>45230</v>
      </c>
      <c r="B500">
        <v>3.4740600000000001</v>
      </c>
    </row>
    <row r="501" spans="1:2" x14ac:dyDescent="0.25">
      <c r="A501" s="8">
        <v>45260</v>
      </c>
      <c r="B501">
        <v>3.29074</v>
      </c>
    </row>
    <row r="502" spans="1:2" x14ac:dyDescent="0.25">
      <c r="A502" s="8">
        <v>45291</v>
      </c>
      <c r="B502">
        <v>3.11239</v>
      </c>
    </row>
    <row r="503" spans="1:2" x14ac:dyDescent="0.25">
      <c r="A503" s="8">
        <v>45322</v>
      </c>
      <c r="B503">
        <v>3.1590199999999999</v>
      </c>
    </row>
    <row r="504" spans="1:2" x14ac:dyDescent="0.25">
      <c r="A504" s="8">
        <v>45351</v>
      </c>
      <c r="B504">
        <v>3.0594700000000001</v>
      </c>
    </row>
    <row r="505" spans="1:2" x14ac:dyDescent="0.25">
      <c r="A505" s="8">
        <v>45382</v>
      </c>
      <c r="B505">
        <v>3.1221700000000001</v>
      </c>
    </row>
    <row r="506" spans="1:2" x14ac:dyDescent="0.25">
      <c r="A506" s="8">
        <v>45412</v>
      </c>
      <c r="B506">
        <v>3.0067200000000001</v>
      </c>
    </row>
    <row r="507" spans="1:2" x14ac:dyDescent="0.25">
      <c r="A507" s="8">
        <v>45443</v>
      </c>
      <c r="B507">
        <v>2.7711800000000002</v>
      </c>
    </row>
    <row r="508" spans="1:2" x14ac:dyDescent="0.25">
      <c r="A508" s="8">
        <v>45473</v>
      </c>
      <c r="B508">
        <v>2.7531599999999998</v>
      </c>
    </row>
    <row r="509" spans="1:2" x14ac:dyDescent="0.25">
      <c r="A509" s="8">
        <v>45504</v>
      </c>
      <c r="B509">
        <v>2.8062200000000002</v>
      </c>
    </row>
    <row r="510" spans="1:2" x14ac:dyDescent="0.25">
      <c r="A510" s="8">
        <v>45535</v>
      </c>
      <c r="B510">
        <v>2.8732799999999998</v>
      </c>
    </row>
    <row r="511" spans="1:2" x14ac:dyDescent="0.25">
      <c r="A511" s="8">
        <v>45565</v>
      </c>
      <c r="B511">
        <v>2.8386300000000002</v>
      </c>
    </row>
    <row r="512" spans="1:2" x14ac:dyDescent="0.25">
      <c r="A512" s="8">
        <v>45596</v>
      </c>
      <c r="B512">
        <v>2.98651</v>
      </c>
    </row>
    <row r="513" spans="1:2" x14ac:dyDescent="0.25">
      <c r="A513" s="8">
        <v>45626</v>
      </c>
      <c r="B513">
        <v>2.9807100000000002</v>
      </c>
    </row>
    <row r="514" spans="1:2" x14ac:dyDescent="0.25">
      <c r="A514" s="8">
        <v>45657</v>
      </c>
      <c r="B514">
        <v>2.9885899999999999</v>
      </c>
    </row>
    <row r="515" spans="1:2" x14ac:dyDescent="0.25">
      <c r="A515" s="8">
        <v>45688</v>
      </c>
      <c r="B515">
        <v>2.7801300000000002</v>
      </c>
    </row>
    <row r="516" spans="1:2" x14ac:dyDescent="0.25">
      <c r="A516" s="8">
        <v>45716</v>
      </c>
      <c r="B516">
        <v>2.9686400000000002</v>
      </c>
    </row>
    <row r="517" spans="1:2" x14ac:dyDescent="0.25">
      <c r="A517" s="8">
        <v>45747</v>
      </c>
      <c r="B517">
        <v>2.6702900000000001</v>
      </c>
    </row>
    <row r="518" spans="1:2" x14ac:dyDescent="0.25">
      <c r="A518" s="8">
        <v>45777</v>
      </c>
      <c r="B518">
        <v>2.6147900000000002</v>
      </c>
    </row>
    <row r="519" spans="1:2" x14ac:dyDescent="0.25">
      <c r="A519" s="8">
        <v>45808</v>
      </c>
      <c r="B519">
        <v>2.7838799999999999</v>
      </c>
    </row>
    <row r="520" spans="1:2" x14ac:dyDescent="0.25">
      <c r="A520" s="8">
        <v>45838</v>
      </c>
      <c r="B520">
        <v>2.8073700000000001</v>
      </c>
    </row>
    <row r="521" spans="1:2" x14ac:dyDescent="0.25">
      <c r="A521" s="8">
        <v>45869</v>
      </c>
      <c r="B521">
        <v>2.8630399999999998</v>
      </c>
    </row>
    <row r="522" spans="1:2" x14ac:dyDescent="0.25">
      <c r="A522" s="8">
        <v>45900</v>
      </c>
      <c r="B522">
        <v>2.91242</v>
      </c>
    </row>
    <row r="523" spans="1:2" x14ac:dyDescent="0.25">
      <c r="A523" s="8">
        <v>45930</v>
      </c>
      <c r="B523">
        <v>2.8250700000000002</v>
      </c>
    </row>
    <row r="524" spans="1:2" x14ac:dyDescent="0.25">
      <c r="A524" s="8">
        <v>45961</v>
      </c>
      <c r="B524">
        <v>2.7343500000000001</v>
      </c>
    </row>
    <row r="525" spans="1:2" x14ac:dyDescent="0.25">
      <c r="A525" s="8">
        <v>45991</v>
      </c>
      <c r="B525">
        <v>2.7911800000000002</v>
      </c>
    </row>
    <row r="541" spans="1:4" x14ac:dyDescent="0.25">
      <c r="A541" s="6" t="s">
        <v>259</v>
      </c>
      <c r="B541" s="6" t="s">
        <v>260</v>
      </c>
      <c r="C541" s="6" t="s">
        <v>261</v>
      </c>
      <c r="D541" s="6" t="s">
        <v>54</v>
      </c>
    </row>
    <row r="542" spans="1:4" x14ac:dyDescent="0.25">
      <c r="A542" t="str">
        <f ca="1">_xll.BDH("CPI SHLT Index","PX_LAST","02/01/2016",TODAY(),"Per=M")</f>
        <v>#N/A Invalid Security</v>
      </c>
    </row>
    <row r="676" spans="1:4" x14ac:dyDescent="0.25">
      <c r="A676" s="6" t="s">
        <v>262</v>
      </c>
      <c r="B676" s="6" t="s">
        <v>263</v>
      </c>
      <c r="C676" s="6" t="s">
        <v>264</v>
      </c>
      <c r="D676" s="6" t="s">
        <v>54</v>
      </c>
    </row>
    <row r="677" spans="1:4" x14ac:dyDescent="0.25">
      <c r="A677" t="str">
        <f ca="1">_xll.BDH("CPI ENRG Index","PX_LAST","02/01/2016",TODAY(),"Per=M")</f>
        <v>#N/A Invalid Security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6749"/>
  </sheetPr>
  <dimension ref="A1:D812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265</v>
      </c>
      <c r="B1" s="6" t="s">
        <v>266</v>
      </c>
      <c r="C1" s="6" t="s">
        <v>267</v>
      </c>
      <c r="D1" s="6" t="s">
        <v>54</v>
      </c>
    </row>
    <row r="2" spans="1:4" x14ac:dyDescent="0.25">
      <c r="A2" t="str">
        <f ca="1">_xll.BDH("EPFRUSEA Index","PX_LAST","02/01/2016",TODAY(),"Per=M")</f>
        <v>#N/A Invalid Security</v>
      </c>
    </row>
    <row r="136" spans="1:4" x14ac:dyDescent="0.25">
      <c r="A136" s="6" t="s">
        <v>268</v>
      </c>
      <c r="B136" s="6" t="s">
        <v>269</v>
      </c>
      <c r="C136" s="6" t="s">
        <v>270</v>
      </c>
      <c r="D136" s="6" t="s">
        <v>54</v>
      </c>
    </row>
    <row r="137" spans="1:4" x14ac:dyDescent="0.25">
      <c r="A137" t="str">
        <f ca="1">_xll.BDH("EPFREQEU Index","PX_LAST","02/01/2016",TODAY(),"Per=M")</f>
        <v>#N/A Invalid Security</v>
      </c>
    </row>
    <row r="271" spans="1:4" x14ac:dyDescent="0.25">
      <c r="A271" s="6" t="s">
        <v>271</v>
      </c>
      <c r="B271" s="6" t="s">
        <v>272</v>
      </c>
      <c r="C271" s="6" t="s">
        <v>273</v>
      </c>
      <c r="D271" s="6" t="s">
        <v>54</v>
      </c>
    </row>
    <row r="272" spans="1:4" x14ac:dyDescent="0.25">
      <c r="A272" t="str">
        <f ca="1">_xll.BDH("EPFREQEM Index","PX_LAST","02/01/2016",TODAY(),"Per=M")</f>
        <v>#N/A Invalid Security</v>
      </c>
    </row>
    <row r="406" spans="1:4" x14ac:dyDescent="0.25">
      <c r="A406" s="6" t="s">
        <v>274</v>
      </c>
      <c r="B406" s="6" t="s">
        <v>275</v>
      </c>
      <c r="C406" s="6" t="s">
        <v>276</v>
      </c>
      <c r="D406" s="6" t="s">
        <v>54</v>
      </c>
    </row>
    <row r="407" spans="1:4" x14ac:dyDescent="0.25">
      <c r="A407" t="str">
        <f ca="1">_xll.BDH("EPFREQJP Index","PX_LAST","02/01/2016",TODAY(),"Per=M")</f>
        <v>#N/A Invalid Security</v>
      </c>
    </row>
    <row r="541" spans="1:4" x14ac:dyDescent="0.25">
      <c r="A541" s="6" t="s">
        <v>277</v>
      </c>
      <c r="B541" s="6" t="s">
        <v>278</v>
      </c>
      <c r="C541" s="6" t="s">
        <v>279</v>
      </c>
      <c r="D541" s="6" t="s">
        <v>54</v>
      </c>
    </row>
    <row r="542" spans="1:4" x14ac:dyDescent="0.25">
      <c r="A542" t="str">
        <f ca="1">_xll.BDH("EPFRBDIG Index","PX_LAST","02/01/2016",TODAY(),"Per=M")</f>
        <v>#N/A Invalid Security</v>
      </c>
    </row>
    <row r="676" spans="1:4" x14ac:dyDescent="0.25">
      <c r="A676" s="6" t="s">
        <v>280</v>
      </c>
      <c r="B676" s="6" t="s">
        <v>281</v>
      </c>
      <c r="C676" s="6" t="s">
        <v>282</v>
      </c>
      <c r="D676" s="6" t="s">
        <v>54</v>
      </c>
    </row>
    <row r="677" spans="1:4" x14ac:dyDescent="0.25">
      <c r="A677" t="str">
        <f ca="1">_xll.BDH("EPFRBDHY Index","PX_LAST","02/01/2016",TODAY(),"Per=M")</f>
        <v>#N/A Invalid Security</v>
      </c>
    </row>
    <row r="811" spans="1:4" x14ac:dyDescent="0.25">
      <c r="A811" s="6" t="s">
        <v>283</v>
      </c>
      <c r="B811" s="6" t="s">
        <v>284</v>
      </c>
      <c r="C811" s="6" t="s">
        <v>285</v>
      </c>
      <c r="D811" s="6" t="s">
        <v>54</v>
      </c>
    </row>
    <row r="812" spans="1:4" x14ac:dyDescent="0.25">
      <c r="A812" t="str">
        <f ca="1">_xll.BDH("EPFRBDEM Index","PX_LAST","02/01/2016",TODAY(),"Per=M")</f>
        <v>#N/A Invalid Security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76749"/>
  </sheetPr>
  <dimension ref="A1:D677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286</v>
      </c>
      <c r="B1" s="6" t="s">
        <v>287</v>
      </c>
      <c r="C1" s="6" t="s">
        <v>288</v>
      </c>
      <c r="D1" s="6" t="s">
        <v>54</v>
      </c>
    </row>
    <row r="2" spans="1:4" x14ac:dyDescent="0.25">
      <c r="A2" s="8">
        <f ca="1">_xll.BDH("AAIIBULL Index","PX_LAST","02/01/2016",TODAY(),"Per=M","cols=2;rows=121")</f>
        <v>42398</v>
      </c>
      <c r="B2">
        <v>29.75</v>
      </c>
    </row>
    <row r="3" spans="1:4" x14ac:dyDescent="0.25">
      <c r="A3" s="8">
        <v>42429</v>
      </c>
      <c r="B3">
        <v>31.19</v>
      </c>
    </row>
    <row r="4" spans="1:4" x14ac:dyDescent="0.25">
      <c r="A4" s="8">
        <v>42460</v>
      </c>
      <c r="B4">
        <v>27.18</v>
      </c>
    </row>
    <row r="5" spans="1:4" x14ac:dyDescent="0.25">
      <c r="A5" s="8">
        <v>42489</v>
      </c>
      <c r="B5">
        <v>27.37</v>
      </c>
    </row>
    <row r="6" spans="1:4" x14ac:dyDescent="0.25">
      <c r="A6" s="8">
        <v>42521</v>
      </c>
      <c r="B6">
        <v>17.75</v>
      </c>
    </row>
    <row r="7" spans="1:4" x14ac:dyDescent="0.25">
      <c r="A7" s="8">
        <v>42551</v>
      </c>
      <c r="B7">
        <v>28.91</v>
      </c>
    </row>
    <row r="8" spans="1:4" x14ac:dyDescent="0.25">
      <c r="A8" s="8">
        <v>42580</v>
      </c>
      <c r="B8">
        <v>31.25</v>
      </c>
    </row>
    <row r="9" spans="1:4" x14ac:dyDescent="0.25">
      <c r="A9" s="8">
        <v>42613</v>
      </c>
      <c r="B9">
        <v>29.42</v>
      </c>
    </row>
    <row r="10" spans="1:4" x14ac:dyDescent="0.25">
      <c r="A10" s="8">
        <v>42643</v>
      </c>
      <c r="B10">
        <v>24</v>
      </c>
    </row>
    <row r="11" spans="1:4" x14ac:dyDescent="0.25">
      <c r="A11" s="8">
        <v>42674</v>
      </c>
      <c r="B11">
        <v>24.75</v>
      </c>
    </row>
    <row r="12" spans="1:4" x14ac:dyDescent="0.25">
      <c r="A12" s="8">
        <v>42704</v>
      </c>
      <c r="B12">
        <v>49.89</v>
      </c>
    </row>
    <row r="13" spans="1:4" x14ac:dyDescent="0.25">
      <c r="A13" s="8">
        <v>42734</v>
      </c>
      <c r="B13">
        <v>45.57</v>
      </c>
    </row>
    <row r="14" spans="1:4" x14ac:dyDescent="0.25">
      <c r="A14" s="8">
        <v>42766</v>
      </c>
      <c r="B14">
        <v>31.58</v>
      </c>
    </row>
    <row r="15" spans="1:4" x14ac:dyDescent="0.25">
      <c r="A15" s="8">
        <v>42794</v>
      </c>
      <c r="B15">
        <v>38.46</v>
      </c>
    </row>
    <row r="16" spans="1:4" x14ac:dyDescent="0.25">
      <c r="A16" s="8">
        <v>42825</v>
      </c>
      <c r="B16">
        <v>30.22</v>
      </c>
    </row>
    <row r="17" spans="1:2" x14ac:dyDescent="0.25">
      <c r="A17" s="8">
        <v>42853</v>
      </c>
      <c r="B17">
        <v>38.049999999999997</v>
      </c>
    </row>
    <row r="18" spans="1:2" x14ac:dyDescent="0.25">
      <c r="A18" s="8">
        <v>42886</v>
      </c>
      <c r="B18">
        <v>32.86</v>
      </c>
    </row>
    <row r="19" spans="1:2" x14ac:dyDescent="0.25">
      <c r="A19" s="8">
        <v>42916</v>
      </c>
      <c r="B19">
        <v>29.71</v>
      </c>
    </row>
    <row r="20" spans="1:2" x14ac:dyDescent="0.25">
      <c r="A20" s="8">
        <v>42947</v>
      </c>
      <c r="B20">
        <v>34.46</v>
      </c>
    </row>
    <row r="21" spans="1:2" x14ac:dyDescent="0.25">
      <c r="A21" s="8">
        <v>42978</v>
      </c>
      <c r="B21">
        <v>25</v>
      </c>
    </row>
    <row r="22" spans="1:2" x14ac:dyDescent="0.25">
      <c r="A22" s="8">
        <v>43007</v>
      </c>
      <c r="B22">
        <v>33.33</v>
      </c>
    </row>
    <row r="23" spans="1:2" x14ac:dyDescent="0.25">
      <c r="A23" s="8">
        <v>43039</v>
      </c>
      <c r="B23">
        <v>39.64</v>
      </c>
    </row>
    <row r="24" spans="1:2" x14ac:dyDescent="0.25">
      <c r="A24" s="8">
        <v>43069</v>
      </c>
      <c r="B24">
        <v>35.950000000000003</v>
      </c>
    </row>
    <row r="25" spans="1:2" x14ac:dyDescent="0.25">
      <c r="A25" s="8">
        <v>43098</v>
      </c>
      <c r="B25">
        <v>52.65</v>
      </c>
    </row>
    <row r="26" spans="1:2" x14ac:dyDescent="0.25">
      <c r="A26" s="8">
        <v>43131</v>
      </c>
      <c r="B26">
        <v>45.45</v>
      </c>
    </row>
    <row r="27" spans="1:2" x14ac:dyDescent="0.25">
      <c r="A27" s="8">
        <v>43159</v>
      </c>
      <c r="B27">
        <v>44.65</v>
      </c>
    </row>
    <row r="28" spans="1:2" x14ac:dyDescent="0.25">
      <c r="A28" s="8">
        <v>43189</v>
      </c>
      <c r="B28">
        <v>31.94</v>
      </c>
    </row>
    <row r="29" spans="1:2" x14ac:dyDescent="0.25">
      <c r="A29" s="8">
        <v>43220</v>
      </c>
      <c r="B29">
        <v>36.909999999999997</v>
      </c>
    </row>
    <row r="30" spans="1:2" x14ac:dyDescent="0.25">
      <c r="A30" s="8">
        <v>43251</v>
      </c>
      <c r="B30">
        <v>35.020000000000003</v>
      </c>
    </row>
    <row r="31" spans="1:2" x14ac:dyDescent="0.25">
      <c r="A31" s="8">
        <v>43280</v>
      </c>
      <c r="B31">
        <v>28.45</v>
      </c>
    </row>
    <row r="32" spans="1:2" x14ac:dyDescent="0.25">
      <c r="A32" s="8">
        <v>43312</v>
      </c>
      <c r="B32">
        <v>31.52</v>
      </c>
    </row>
    <row r="33" spans="1:2" x14ac:dyDescent="0.25">
      <c r="A33" s="8">
        <v>43343</v>
      </c>
      <c r="B33">
        <v>43.5</v>
      </c>
    </row>
    <row r="34" spans="1:2" x14ac:dyDescent="0.25">
      <c r="A34" s="8">
        <v>43371</v>
      </c>
      <c r="B34">
        <v>36.22</v>
      </c>
    </row>
    <row r="35" spans="1:2" x14ac:dyDescent="0.25">
      <c r="A35" s="8">
        <v>43404</v>
      </c>
      <c r="B35">
        <v>27.97</v>
      </c>
    </row>
    <row r="36" spans="1:2" x14ac:dyDescent="0.25">
      <c r="A36" s="8">
        <v>43434</v>
      </c>
      <c r="B36">
        <v>33.880000000000003</v>
      </c>
    </row>
    <row r="37" spans="1:2" x14ac:dyDescent="0.25">
      <c r="A37" s="8">
        <v>43465</v>
      </c>
      <c r="B37">
        <v>31.55</v>
      </c>
    </row>
    <row r="38" spans="1:2" x14ac:dyDescent="0.25">
      <c r="A38" s="8">
        <v>43496</v>
      </c>
      <c r="B38">
        <v>31.76</v>
      </c>
    </row>
    <row r="39" spans="1:2" x14ac:dyDescent="0.25">
      <c r="A39" s="8">
        <v>43524</v>
      </c>
      <c r="B39">
        <v>41.63</v>
      </c>
    </row>
    <row r="40" spans="1:2" x14ac:dyDescent="0.25">
      <c r="A40" s="8">
        <v>43553</v>
      </c>
      <c r="B40">
        <v>33.200000000000003</v>
      </c>
    </row>
    <row r="41" spans="1:2" x14ac:dyDescent="0.25">
      <c r="A41" s="8">
        <v>43585</v>
      </c>
      <c r="B41">
        <v>33.520000000000003</v>
      </c>
    </row>
    <row r="42" spans="1:2" x14ac:dyDescent="0.25">
      <c r="A42" s="8">
        <v>43616</v>
      </c>
      <c r="B42">
        <v>24.79</v>
      </c>
    </row>
    <row r="43" spans="1:2" x14ac:dyDescent="0.25">
      <c r="A43" s="8">
        <v>43644</v>
      </c>
      <c r="B43">
        <v>29.59</v>
      </c>
    </row>
    <row r="44" spans="1:2" x14ac:dyDescent="0.25">
      <c r="A44" s="8">
        <v>43677</v>
      </c>
      <c r="B44">
        <v>31.74</v>
      </c>
    </row>
    <row r="45" spans="1:2" x14ac:dyDescent="0.25">
      <c r="A45" s="8">
        <v>43707</v>
      </c>
      <c r="B45">
        <v>26.13</v>
      </c>
    </row>
    <row r="46" spans="1:2" x14ac:dyDescent="0.25">
      <c r="A46" s="8">
        <v>43738</v>
      </c>
      <c r="B46">
        <v>29.37</v>
      </c>
    </row>
    <row r="47" spans="1:2" x14ac:dyDescent="0.25">
      <c r="A47" s="8">
        <v>43769</v>
      </c>
      <c r="B47">
        <v>33.979999999999997</v>
      </c>
    </row>
    <row r="48" spans="1:2" x14ac:dyDescent="0.25">
      <c r="A48" s="8">
        <v>43798</v>
      </c>
      <c r="B48">
        <v>33.64</v>
      </c>
    </row>
    <row r="49" spans="1:2" x14ac:dyDescent="0.25">
      <c r="A49" s="8">
        <v>43830</v>
      </c>
      <c r="B49">
        <v>41.89</v>
      </c>
    </row>
    <row r="50" spans="1:2" x14ac:dyDescent="0.25">
      <c r="A50" s="8">
        <v>43861</v>
      </c>
      <c r="B50">
        <v>31.98</v>
      </c>
    </row>
    <row r="51" spans="1:2" x14ac:dyDescent="0.25">
      <c r="A51" s="8">
        <v>43889</v>
      </c>
      <c r="B51">
        <v>30.43</v>
      </c>
    </row>
    <row r="52" spans="1:2" x14ac:dyDescent="0.25">
      <c r="A52" s="8">
        <v>43921</v>
      </c>
      <c r="B52">
        <v>32.9</v>
      </c>
    </row>
    <row r="53" spans="1:2" x14ac:dyDescent="0.25">
      <c r="A53" s="8">
        <v>43951</v>
      </c>
      <c r="B53">
        <v>30.6</v>
      </c>
    </row>
    <row r="54" spans="1:2" x14ac:dyDescent="0.25">
      <c r="A54" s="8">
        <v>43980</v>
      </c>
      <c r="B54">
        <v>33.07</v>
      </c>
    </row>
    <row r="55" spans="1:2" x14ac:dyDescent="0.25">
      <c r="A55" s="8">
        <v>44012</v>
      </c>
      <c r="B55">
        <v>24.14</v>
      </c>
    </row>
    <row r="56" spans="1:2" x14ac:dyDescent="0.25">
      <c r="A56" s="8">
        <v>44043</v>
      </c>
      <c r="B56">
        <v>20.23</v>
      </c>
    </row>
    <row r="57" spans="1:2" x14ac:dyDescent="0.25">
      <c r="A57" s="8">
        <v>44074</v>
      </c>
      <c r="B57">
        <v>32.08</v>
      </c>
    </row>
    <row r="58" spans="1:2" x14ac:dyDescent="0.25">
      <c r="A58" s="8">
        <v>44104</v>
      </c>
      <c r="B58">
        <v>24.89</v>
      </c>
    </row>
    <row r="59" spans="1:2" x14ac:dyDescent="0.25">
      <c r="A59" s="8">
        <v>44134</v>
      </c>
      <c r="B59">
        <v>35.29</v>
      </c>
    </row>
    <row r="60" spans="1:2" x14ac:dyDescent="0.25">
      <c r="A60" s="8">
        <v>44165</v>
      </c>
      <c r="B60">
        <v>47.25</v>
      </c>
    </row>
    <row r="61" spans="1:2" x14ac:dyDescent="0.25">
      <c r="A61" s="8">
        <v>44196</v>
      </c>
      <c r="B61">
        <v>46.1</v>
      </c>
    </row>
    <row r="62" spans="1:2" x14ac:dyDescent="0.25">
      <c r="A62" s="8">
        <v>44225</v>
      </c>
      <c r="B62">
        <v>37.700000000000003</v>
      </c>
    </row>
    <row r="63" spans="1:2" x14ac:dyDescent="0.25">
      <c r="A63" s="8">
        <v>44253</v>
      </c>
      <c r="B63">
        <v>45.9</v>
      </c>
    </row>
    <row r="64" spans="1:2" x14ac:dyDescent="0.25">
      <c r="A64" s="8">
        <v>44286</v>
      </c>
      <c r="B64">
        <v>50.9</v>
      </c>
    </row>
    <row r="65" spans="1:2" x14ac:dyDescent="0.25">
      <c r="A65" s="8">
        <v>44316</v>
      </c>
      <c r="B65">
        <v>42.6</v>
      </c>
    </row>
    <row r="66" spans="1:2" x14ac:dyDescent="0.25">
      <c r="A66" s="8">
        <v>44347</v>
      </c>
      <c r="B66">
        <v>36.4</v>
      </c>
    </row>
    <row r="67" spans="1:2" x14ac:dyDescent="0.25">
      <c r="A67" s="8">
        <v>44377</v>
      </c>
      <c r="B67">
        <v>40.4</v>
      </c>
    </row>
    <row r="68" spans="1:2" x14ac:dyDescent="0.25">
      <c r="A68" s="8">
        <v>44407</v>
      </c>
      <c r="B68">
        <v>36.200000000000003</v>
      </c>
    </row>
    <row r="69" spans="1:2" x14ac:dyDescent="0.25">
      <c r="A69" s="8">
        <v>44439</v>
      </c>
      <c r="B69">
        <v>39.6</v>
      </c>
    </row>
    <row r="70" spans="1:2" x14ac:dyDescent="0.25">
      <c r="A70" s="8">
        <v>44469</v>
      </c>
      <c r="B70">
        <v>28.1</v>
      </c>
    </row>
    <row r="71" spans="1:2" x14ac:dyDescent="0.25">
      <c r="A71" s="8">
        <v>44498</v>
      </c>
      <c r="B71">
        <v>39.799999999999997</v>
      </c>
    </row>
    <row r="72" spans="1:2" x14ac:dyDescent="0.25">
      <c r="A72" s="8">
        <v>44530</v>
      </c>
      <c r="B72">
        <v>33.799999999999997</v>
      </c>
    </row>
    <row r="73" spans="1:2" x14ac:dyDescent="0.25">
      <c r="A73" s="8">
        <v>44561</v>
      </c>
      <c r="B73">
        <v>37.700000000000003</v>
      </c>
    </row>
    <row r="74" spans="1:2" x14ac:dyDescent="0.25">
      <c r="A74" s="8">
        <v>44592</v>
      </c>
      <c r="B74">
        <v>23.1</v>
      </c>
    </row>
    <row r="75" spans="1:2" x14ac:dyDescent="0.25">
      <c r="A75" s="8">
        <v>44620</v>
      </c>
      <c r="B75">
        <v>23.4</v>
      </c>
    </row>
    <row r="76" spans="1:2" x14ac:dyDescent="0.25">
      <c r="A76" s="8">
        <v>44651</v>
      </c>
      <c r="B76">
        <v>31.9</v>
      </c>
    </row>
    <row r="77" spans="1:2" x14ac:dyDescent="0.25">
      <c r="A77" s="8">
        <v>44680</v>
      </c>
      <c r="B77">
        <v>16.399999999999999</v>
      </c>
    </row>
    <row r="78" spans="1:2" x14ac:dyDescent="0.25">
      <c r="A78" s="8">
        <v>44712</v>
      </c>
      <c r="B78">
        <v>19.8</v>
      </c>
    </row>
    <row r="79" spans="1:2" x14ac:dyDescent="0.25">
      <c r="A79" s="8">
        <v>44742</v>
      </c>
      <c r="B79">
        <v>22.8</v>
      </c>
    </row>
    <row r="80" spans="1:2" x14ac:dyDescent="0.25">
      <c r="A80" s="8">
        <v>44771</v>
      </c>
      <c r="B80">
        <v>27.7</v>
      </c>
    </row>
    <row r="81" spans="1:2" x14ac:dyDescent="0.25">
      <c r="A81" s="8">
        <v>44804</v>
      </c>
      <c r="B81">
        <v>27.7</v>
      </c>
    </row>
    <row r="82" spans="1:2" x14ac:dyDescent="0.25">
      <c r="A82" s="8">
        <v>44834</v>
      </c>
      <c r="B82">
        <v>20</v>
      </c>
    </row>
    <row r="83" spans="1:2" x14ac:dyDescent="0.25">
      <c r="A83" s="8">
        <v>44865</v>
      </c>
      <c r="B83">
        <v>26.6</v>
      </c>
    </row>
    <row r="84" spans="1:2" x14ac:dyDescent="0.25">
      <c r="A84" s="8">
        <v>44895</v>
      </c>
      <c r="B84">
        <v>28.9</v>
      </c>
    </row>
    <row r="85" spans="1:2" x14ac:dyDescent="0.25">
      <c r="A85" s="8">
        <v>44925</v>
      </c>
      <c r="B85">
        <v>26.5</v>
      </c>
    </row>
    <row r="86" spans="1:2" x14ac:dyDescent="0.25">
      <c r="A86" s="8">
        <v>44957</v>
      </c>
      <c r="B86">
        <v>28.4</v>
      </c>
    </row>
    <row r="87" spans="1:2" x14ac:dyDescent="0.25">
      <c r="A87" s="8">
        <v>44985</v>
      </c>
      <c r="B87">
        <v>21.6</v>
      </c>
    </row>
    <row r="88" spans="1:2" x14ac:dyDescent="0.25">
      <c r="A88" s="8">
        <v>45016</v>
      </c>
      <c r="B88">
        <v>22.5</v>
      </c>
    </row>
    <row r="89" spans="1:2" x14ac:dyDescent="0.25">
      <c r="A89" s="8">
        <v>45044</v>
      </c>
      <c r="B89">
        <v>24.1</v>
      </c>
    </row>
    <row r="90" spans="1:2" x14ac:dyDescent="0.25">
      <c r="A90" s="8">
        <v>45077</v>
      </c>
      <c r="B90">
        <v>27.4</v>
      </c>
    </row>
    <row r="91" spans="1:2" x14ac:dyDescent="0.25">
      <c r="A91" s="8">
        <v>45107</v>
      </c>
      <c r="B91">
        <v>41.9</v>
      </c>
    </row>
    <row r="92" spans="1:2" x14ac:dyDescent="0.25">
      <c r="A92" s="8">
        <v>45138</v>
      </c>
      <c r="B92">
        <v>44.9</v>
      </c>
    </row>
    <row r="93" spans="1:2" x14ac:dyDescent="0.25">
      <c r="A93" s="8">
        <v>45169</v>
      </c>
      <c r="B93">
        <v>33.1</v>
      </c>
    </row>
    <row r="94" spans="1:2" x14ac:dyDescent="0.25">
      <c r="A94" s="8">
        <v>45198</v>
      </c>
      <c r="B94">
        <v>27.8</v>
      </c>
    </row>
    <row r="95" spans="1:2" x14ac:dyDescent="0.25">
      <c r="A95" s="8">
        <v>45230</v>
      </c>
      <c r="B95">
        <v>29.3</v>
      </c>
    </row>
    <row r="96" spans="1:2" x14ac:dyDescent="0.25">
      <c r="A96" s="8">
        <v>45260</v>
      </c>
      <c r="B96">
        <v>48.8</v>
      </c>
    </row>
    <row r="97" spans="1:2" x14ac:dyDescent="0.25">
      <c r="A97" s="8">
        <v>45289</v>
      </c>
      <c r="B97">
        <v>46.3</v>
      </c>
    </row>
    <row r="98" spans="1:2" x14ac:dyDescent="0.25">
      <c r="A98" s="8">
        <v>45322</v>
      </c>
      <c r="B98">
        <v>39.299999999999997</v>
      </c>
    </row>
    <row r="99" spans="1:2" x14ac:dyDescent="0.25">
      <c r="A99" s="8">
        <v>45351</v>
      </c>
      <c r="B99">
        <v>46.5</v>
      </c>
    </row>
    <row r="100" spans="1:2" x14ac:dyDescent="0.25">
      <c r="A100" s="8">
        <v>45380</v>
      </c>
      <c r="B100">
        <v>50</v>
      </c>
    </row>
    <row r="101" spans="1:2" x14ac:dyDescent="0.25">
      <c r="A101" s="8">
        <v>45412</v>
      </c>
      <c r="B101">
        <v>32.1</v>
      </c>
    </row>
    <row r="102" spans="1:2" x14ac:dyDescent="0.25">
      <c r="A102" s="8">
        <v>45443</v>
      </c>
      <c r="B102">
        <v>39</v>
      </c>
    </row>
    <row r="103" spans="1:2" x14ac:dyDescent="0.25">
      <c r="A103" s="8">
        <v>45471</v>
      </c>
      <c r="B103">
        <v>44.5</v>
      </c>
    </row>
    <row r="104" spans="1:2" x14ac:dyDescent="0.25">
      <c r="A104" s="8">
        <v>45504</v>
      </c>
      <c r="B104">
        <v>43.2</v>
      </c>
    </row>
    <row r="105" spans="1:2" x14ac:dyDescent="0.25">
      <c r="A105" s="8">
        <v>45534</v>
      </c>
      <c r="B105">
        <v>51.2</v>
      </c>
    </row>
    <row r="106" spans="1:2" x14ac:dyDescent="0.25">
      <c r="A106" s="8">
        <v>45565</v>
      </c>
      <c r="B106">
        <v>49.6</v>
      </c>
    </row>
    <row r="107" spans="1:2" x14ac:dyDescent="0.25">
      <c r="A107" s="8">
        <v>45596</v>
      </c>
      <c r="B107">
        <v>39.5</v>
      </c>
    </row>
    <row r="108" spans="1:2" x14ac:dyDescent="0.25">
      <c r="A108" s="8">
        <v>45625</v>
      </c>
      <c r="B108">
        <v>37.1</v>
      </c>
    </row>
    <row r="109" spans="1:2" x14ac:dyDescent="0.25">
      <c r="A109" s="8">
        <v>45657</v>
      </c>
      <c r="B109">
        <v>37.799999999999997</v>
      </c>
    </row>
    <row r="110" spans="1:2" x14ac:dyDescent="0.25">
      <c r="A110" s="8">
        <v>45688</v>
      </c>
      <c r="B110">
        <v>41</v>
      </c>
    </row>
    <row r="111" spans="1:2" x14ac:dyDescent="0.25">
      <c r="A111" s="8">
        <v>45716</v>
      </c>
      <c r="B111">
        <v>19.399999999999999</v>
      </c>
    </row>
    <row r="112" spans="1:2" x14ac:dyDescent="0.25">
      <c r="A112" s="8">
        <v>45747</v>
      </c>
      <c r="B112">
        <v>27.4</v>
      </c>
    </row>
    <row r="113" spans="1:2" x14ac:dyDescent="0.25">
      <c r="A113" s="8">
        <v>45777</v>
      </c>
      <c r="B113">
        <v>21.9</v>
      </c>
    </row>
    <row r="114" spans="1:2" x14ac:dyDescent="0.25">
      <c r="A114" s="8">
        <v>45807</v>
      </c>
      <c r="B114">
        <v>32.9</v>
      </c>
    </row>
    <row r="115" spans="1:2" x14ac:dyDescent="0.25">
      <c r="A115" s="8">
        <v>45838</v>
      </c>
      <c r="B115">
        <v>35.1</v>
      </c>
    </row>
    <row r="116" spans="1:2" x14ac:dyDescent="0.25">
      <c r="A116" s="8">
        <v>45869</v>
      </c>
      <c r="B116">
        <v>40.299999999999997</v>
      </c>
    </row>
    <row r="117" spans="1:2" x14ac:dyDescent="0.25">
      <c r="A117" s="8">
        <v>45898</v>
      </c>
      <c r="B117">
        <v>34.6</v>
      </c>
    </row>
    <row r="118" spans="1:2" x14ac:dyDescent="0.25">
      <c r="A118" s="8">
        <v>45930</v>
      </c>
      <c r="B118">
        <v>41.7</v>
      </c>
    </row>
    <row r="119" spans="1:2" x14ac:dyDescent="0.25">
      <c r="A119" s="8">
        <v>45961</v>
      </c>
      <c r="B119">
        <v>44</v>
      </c>
    </row>
    <row r="120" spans="1:2" x14ac:dyDescent="0.25">
      <c r="A120" s="8">
        <v>45989</v>
      </c>
      <c r="B120">
        <v>32</v>
      </c>
    </row>
    <row r="121" spans="1:2" x14ac:dyDescent="0.25">
      <c r="A121" s="8">
        <v>46022</v>
      </c>
      <c r="B121">
        <v>37.4</v>
      </c>
    </row>
    <row r="122" spans="1:2" x14ac:dyDescent="0.25">
      <c r="A122" s="8">
        <v>46052</v>
      </c>
      <c r="B122">
        <v>44.4</v>
      </c>
    </row>
    <row r="136" spans="1:4" x14ac:dyDescent="0.25">
      <c r="A136" s="6" t="s">
        <v>289</v>
      </c>
      <c r="B136" s="6" t="s">
        <v>290</v>
      </c>
      <c r="C136" s="6" t="s">
        <v>291</v>
      </c>
      <c r="D136" s="6" t="s">
        <v>54</v>
      </c>
    </row>
    <row r="137" spans="1:4" x14ac:dyDescent="0.25">
      <c r="A137" s="8">
        <f ca="1">_xll.BDH("AAIIBEAR Index","PX_LAST","02/01/2016",TODAY(),"Per=M","cols=2;rows=121")</f>
        <v>42398</v>
      </c>
      <c r="B137">
        <v>39.96</v>
      </c>
    </row>
    <row r="138" spans="1:4" x14ac:dyDescent="0.25">
      <c r="A138" s="8">
        <v>42429</v>
      </c>
      <c r="B138">
        <v>31.42</v>
      </c>
    </row>
    <row r="139" spans="1:4" x14ac:dyDescent="0.25">
      <c r="A139" s="8">
        <v>42460</v>
      </c>
      <c r="B139">
        <v>25.76</v>
      </c>
    </row>
    <row r="140" spans="1:4" x14ac:dyDescent="0.25">
      <c r="A140" s="8">
        <v>42489</v>
      </c>
      <c r="B140">
        <v>28.6</v>
      </c>
    </row>
    <row r="141" spans="1:4" x14ac:dyDescent="0.25">
      <c r="A141" s="8">
        <v>42521</v>
      </c>
      <c r="B141">
        <v>29.39</v>
      </c>
    </row>
    <row r="142" spans="1:4" x14ac:dyDescent="0.25">
      <c r="A142" s="8">
        <v>42551</v>
      </c>
      <c r="B142">
        <v>33.42</v>
      </c>
    </row>
    <row r="143" spans="1:4" x14ac:dyDescent="0.25">
      <c r="A143" s="8">
        <v>42580</v>
      </c>
      <c r="B143">
        <v>28.41</v>
      </c>
    </row>
    <row r="144" spans="1:4" x14ac:dyDescent="0.25">
      <c r="A144" s="8">
        <v>42613</v>
      </c>
      <c r="B144">
        <v>29.64</v>
      </c>
    </row>
    <row r="145" spans="1:2" x14ac:dyDescent="0.25">
      <c r="A145" s="8">
        <v>42643</v>
      </c>
      <c r="B145">
        <v>37.11</v>
      </c>
    </row>
    <row r="146" spans="1:2" x14ac:dyDescent="0.25">
      <c r="A146" s="8">
        <v>42674</v>
      </c>
      <c r="B146">
        <v>34.07</v>
      </c>
    </row>
    <row r="147" spans="1:2" x14ac:dyDescent="0.25">
      <c r="A147" s="8">
        <v>42704</v>
      </c>
      <c r="B147">
        <v>22.08</v>
      </c>
    </row>
    <row r="148" spans="1:2" x14ac:dyDescent="0.25">
      <c r="A148" s="8">
        <v>42734</v>
      </c>
      <c r="B148">
        <v>25.74</v>
      </c>
    </row>
    <row r="149" spans="1:2" x14ac:dyDescent="0.25">
      <c r="A149" s="8">
        <v>42766</v>
      </c>
      <c r="B149">
        <v>33.49</v>
      </c>
    </row>
    <row r="150" spans="1:2" x14ac:dyDescent="0.25">
      <c r="A150" s="8">
        <v>42794</v>
      </c>
      <c r="B150">
        <v>32.31</v>
      </c>
    </row>
    <row r="151" spans="1:2" x14ac:dyDescent="0.25">
      <c r="A151" s="8">
        <v>42825</v>
      </c>
      <c r="B151">
        <v>37.380000000000003</v>
      </c>
    </row>
    <row r="152" spans="1:2" x14ac:dyDescent="0.25">
      <c r="A152" s="8">
        <v>42853</v>
      </c>
      <c r="B152">
        <v>31.71</v>
      </c>
    </row>
    <row r="153" spans="1:2" x14ac:dyDescent="0.25">
      <c r="A153" s="8">
        <v>42886</v>
      </c>
      <c r="B153">
        <v>30</v>
      </c>
    </row>
    <row r="154" spans="1:2" x14ac:dyDescent="0.25">
      <c r="A154" s="8">
        <v>42916</v>
      </c>
      <c r="B154">
        <v>26.86</v>
      </c>
    </row>
    <row r="155" spans="1:2" x14ac:dyDescent="0.25">
      <c r="A155" s="8">
        <v>42947</v>
      </c>
      <c r="B155">
        <v>24.32</v>
      </c>
    </row>
    <row r="156" spans="1:2" x14ac:dyDescent="0.25">
      <c r="A156" s="8">
        <v>42978</v>
      </c>
      <c r="B156">
        <v>39.89</v>
      </c>
    </row>
    <row r="157" spans="1:2" x14ac:dyDescent="0.25">
      <c r="A157" s="8">
        <v>43007</v>
      </c>
      <c r="B157">
        <v>28.74</v>
      </c>
    </row>
    <row r="158" spans="1:2" x14ac:dyDescent="0.25">
      <c r="A158" s="8">
        <v>43039</v>
      </c>
      <c r="B158">
        <v>33.03</v>
      </c>
    </row>
    <row r="159" spans="1:2" x14ac:dyDescent="0.25">
      <c r="A159" s="8">
        <v>43069</v>
      </c>
      <c r="B159">
        <v>31.62</v>
      </c>
    </row>
    <row r="160" spans="1:2" x14ac:dyDescent="0.25">
      <c r="A160" s="8">
        <v>43098</v>
      </c>
      <c r="B160">
        <v>20.63</v>
      </c>
    </row>
    <row r="161" spans="1:2" x14ac:dyDescent="0.25">
      <c r="A161" s="8">
        <v>43131</v>
      </c>
      <c r="B161">
        <v>24.03</v>
      </c>
    </row>
    <row r="162" spans="1:2" x14ac:dyDescent="0.25">
      <c r="A162" s="8">
        <v>43159</v>
      </c>
      <c r="B162">
        <v>22.79</v>
      </c>
    </row>
    <row r="163" spans="1:2" x14ac:dyDescent="0.25">
      <c r="A163" s="8">
        <v>43189</v>
      </c>
      <c r="B163">
        <v>35.33</v>
      </c>
    </row>
    <row r="164" spans="1:2" x14ac:dyDescent="0.25">
      <c r="A164" s="8">
        <v>43220</v>
      </c>
      <c r="B164">
        <v>25.55</v>
      </c>
    </row>
    <row r="165" spans="1:2" x14ac:dyDescent="0.25">
      <c r="A165" s="8">
        <v>43251</v>
      </c>
      <c r="B165">
        <v>26.35</v>
      </c>
    </row>
    <row r="166" spans="1:2" x14ac:dyDescent="0.25">
      <c r="A166" s="8">
        <v>43280</v>
      </c>
      <c r="B166">
        <v>40.799999999999997</v>
      </c>
    </row>
    <row r="167" spans="1:2" x14ac:dyDescent="0.25">
      <c r="A167" s="8">
        <v>43312</v>
      </c>
      <c r="B167">
        <v>26.9</v>
      </c>
    </row>
    <row r="168" spans="1:2" x14ac:dyDescent="0.25">
      <c r="A168" s="8">
        <v>43343</v>
      </c>
      <c r="B168">
        <v>24.39</v>
      </c>
    </row>
    <row r="169" spans="1:2" x14ac:dyDescent="0.25">
      <c r="A169" s="8">
        <v>43371</v>
      </c>
      <c r="B169">
        <v>31.1</v>
      </c>
    </row>
    <row r="170" spans="1:2" x14ac:dyDescent="0.25">
      <c r="A170" s="8">
        <v>43404</v>
      </c>
      <c r="B170">
        <v>41</v>
      </c>
    </row>
    <row r="171" spans="1:2" x14ac:dyDescent="0.25">
      <c r="A171" s="8">
        <v>43434</v>
      </c>
      <c r="B171">
        <v>39.47</v>
      </c>
    </row>
    <row r="172" spans="1:2" x14ac:dyDescent="0.25">
      <c r="A172" s="8">
        <v>43465</v>
      </c>
      <c r="B172">
        <v>50.3</v>
      </c>
    </row>
    <row r="173" spans="1:2" x14ac:dyDescent="0.25">
      <c r="A173" s="8">
        <v>43496</v>
      </c>
      <c r="B173">
        <v>31.76</v>
      </c>
    </row>
    <row r="174" spans="1:2" x14ac:dyDescent="0.25">
      <c r="A174" s="8">
        <v>43524</v>
      </c>
      <c r="B174">
        <v>20</v>
      </c>
    </row>
    <row r="175" spans="1:2" x14ac:dyDescent="0.25">
      <c r="A175" s="8">
        <v>43553</v>
      </c>
      <c r="B175">
        <v>27.2</v>
      </c>
    </row>
    <row r="176" spans="1:2" x14ac:dyDescent="0.25">
      <c r="A176" s="8">
        <v>43585</v>
      </c>
      <c r="B176">
        <v>20.170000000000002</v>
      </c>
    </row>
    <row r="177" spans="1:2" x14ac:dyDescent="0.25">
      <c r="A177" s="8">
        <v>43616</v>
      </c>
      <c r="B177">
        <v>40.08</v>
      </c>
    </row>
    <row r="178" spans="1:2" x14ac:dyDescent="0.25">
      <c r="A178" s="8">
        <v>43644</v>
      </c>
      <c r="B178">
        <v>32.049999999999997</v>
      </c>
    </row>
    <row r="179" spans="1:2" x14ac:dyDescent="0.25">
      <c r="A179" s="8">
        <v>43677</v>
      </c>
      <c r="B179">
        <v>32.020000000000003</v>
      </c>
    </row>
    <row r="180" spans="1:2" x14ac:dyDescent="0.25">
      <c r="A180" s="8">
        <v>43707</v>
      </c>
      <c r="B180">
        <v>42.21</v>
      </c>
    </row>
    <row r="181" spans="1:2" x14ac:dyDescent="0.25">
      <c r="A181" s="8">
        <v>43738</v>
      </c>
      <c r="B181">
        <v>33.26</v>
      </c>
    </row>
    <row r="182" spans="1:2" x14ac:dyDescent="0.25">
      <c r="A182" s="8">
        <v>43769</v>
      </c>
      <c r="B182">
        <v>28.43</v>
      </c>
    </row>
    <row r="183" spans="1:2" x14ac:dyDescent="0.25">
      <c r="A183" s="8">
        <v>43798</v>
      </c>
      <c r="B183">
        <v>30.28</v>
      </c>
    </row>
    <row r="184" spans="1:2" x14ac:dyDescent="0.25">
      <c r="A184" s="8">
        <v>43830</v>
      </c>
      <c r="B184">
        <v>21.53</v>
      </c>
    </row>
    <row r="185" spans="1:2" x14ac:dyDescent="0.25">
      <c r="A185" s="8">
        <v>43861</v>
      </c>
      <c r="B185">
        <v>36.86</v>
      </c>
    </row>
    <row r="186" spans="1:2" x14ac:dyDescent="0.25">
      <c r="A186" s="8">
        <v>43889</v>
      </c>
      <c r="B186">
        <v>39.130000000000003</v>
      </c>
    </row>
    <row r="187" spans="1:2" x14ac:dyDescent="0.25">
      <c r="A187" s="8">
        <v>43921</v>
      </c>
      <c r="B187">
        <v>52.07</v>
      </c>
    </row>
    <row r="188" spans="1:2" x14ac:dyDescent="0.25">
      <c r="A188" s="8">
        <v>43951</v>
      </c>
      <c r="B188">
        <v>44.03</v>
      </c>
    </row>
    <row r="189" spans="1:2" x14ac:dyDescent="0.25">
      <c r="A189" s="8">
        <v>43980</v>
      </c>
      <c r="B189">
        <v>42.13</v>
      </c>
    </row>
    <row r="190" spans="1:2" x14ac:dyDescent="0.25">
      <c r="A190" s="8">
        <v>44012</v>
      </c>
      <c r="B190">
        <v>48.9</v>
      </c>
    </row>
    <row r="191" spans="1:2" x14ac:dyDescent="0.25">
      <c r="A191" s="8">
        <v>44043</v>
      </c>
      <c r="B191">
        <v>48.47</v>
      </c>
    </row>
    <row r="192" spans="1:2" x14ac:dyDescent="0.25">
      <c r="A192" s="8">
        <v>44074</v>
      </c>
      <c r="B192">
        <v>39.619999999999997</v>
      </c>
    </row>
    <row r="193" spans="1:2" x14ac:dyDescent="0.25">
      <c r="A193" s="8">
        <v>44104</v>
      </c>
      <c r="B193">
        <v>45.99</v>
      </c>
    </row>
    <row r="194" spans="1:2" x14ac:dyDescent="0.25">
      <c r="A194" s="8">
        <v>44134</v>
      </c>
      <c r="B194">
        <v>35.29</v>
      </c>
    </row>
    <row r="195" spans="1:2" x14ac:dyDescent="0.25">
      <c r="A195" s="8">
        <v>44165</v>
      </c>
      <c r="B195">
        <v>27.47</v>
      </c>
    </row>
    <row r="196" spans="1:2" x14ac:dyDescent="0.25">
      <c r="A196" s="8">
        <v>44196</v>
      </c>
      <c r="B196">
        <v>26.8</v>
      </c>
    </row>
    <row r="197" spans="1:2" x14ac:dyDescent="0.25">
      <c r="A197" s="8">
        <v>44225</v>
      </c>
      <c r="B197">
        <v>38.299999999999997</v>
      </c>
    </row>
    <row r="198" spans="1:2" x14ac:dyDescent="0.25">
      <c r="A198" s="8">
        <v>44253</v>
      </c>
      <c r="B198">
        <v>23.8</v>
      </c>
    </row>
    <row r="199" spans="1:2" x14ac:dyDescent="0.25">
      <c r="A199" s="8">
        <v>44286</v>
      </c>
      <c r="B199">
        <v>20.6</v>
      </c>
    </row>
    <row r="200" spans="1:2" x14ac:dyDescent="0.25">
      <c r="A200" s="8">
        <v>44316</v>
      </c>
      <c r="B200">
        <v>25.7</v>
      </c>
    </row>
    <row r="201" spans="1:2" x14ac:dyDescent="0.25">
      <c r="A201" s="8">
        <v>44347</v>
      </c>
      <c r="B201">
        <v>26.4</v>
      </c>
    </row>
    <row r="202" spans="1:2" x14ac:dyDescent="0.25">
      <c r="A202" s="8">
        <v>44377</v>
      </c>
      <c r="B202">
        <v>23.3</v>
      </c>
    </row>
    <row r="203" spans="1:2" x14ac:dyDescent="0.25">
      <c r="A203" s="8">
        <v>44407</v>
      </c>
      <c r="B203">
        <v>24.1</v>
      </c>
    </row>
    <row r="204" spans="1:2" x14ac:dyDescent="0.25">
      <c r="A204" s="8">
        <v>44439</v>
      </c>
      <c r="B204">
        <v>33</v>
      </c>
    </row>
    <row r="205" spans="1:2" x14ac:dyDescent="0.25">
      <c r="A205" s="8">
        <v>44469</v>
      </c>
      <c r="B205">
        <v>40.700000000000003</v>
      </c>
    </row>
    <row r="206" spans="1:2" x14ac:dyDescent="0.25">
      <c r="A206" s="8">
        <v>44498</v>
      </c>
      <c r="B206">
        <v>29.4</v>
      </c>
    </row>
    <row r="207" spans="1:2" x14ac:dyDescent="0.25">
      <c r="A207" s="8">
        <v>44530</v>
      </c>
      <c r="B207">
        <v>35.700000000000003</v>
      </c>
    </row>
    <row r="208" spans="1:2" x14ac:dyDescent="0.25">
      <c r="A208" s="8">
        <v>44561</v>
      </c>
      <c r="B208">
        <v>30.5</v>
      </c>
    </row>
    <row r="209" spans="1:2" x14ac:dyDescent="0.25">
      <c r="A209" s="8">
        <v>44592</v>
      </c>
      <c r="B209">
        <v>52.9</v>
      </c>
    </row>
    <row r="210" spans="1:2" x14ac:dyDescent="0.25">
      <c r="A210" s="8">
        <v>44620</v>
      </c>
      <c r="B210">
        <v>53.7</v>
      </c>
    </row>
    <row r="211" spans="1:2" x14ac:dyDescent="0.25">
      <c r="A211" s="8">
        <v>44651</v>
      </c>
      <c r="B211">
        <v>27.5</v>
      </c>
    </row>
    <row r="212" spans="1:2" x14ac:dyDescent="0.25">
      <c r="A212" s="8">
        <v>44680</v>
      </c>
      <c r="B212">
        <v>59.4</v>
      </c>
    </row>
    <row r="213" spans="1:2" x14ac:dyDescent="0.25">
      <c r="A213" s="8">
        <v>44712</v>
      </c>
      <c r="B213">
        <v>53.5</v>
      </c>
    </row>
    <row r="214" spans="1:2" x14ac:dyDescent="0.25">
      <c r="A214" s="8">
        <v>44742</v>
      </c>
      <c r="B214">
        <v>46.7</v>
      </c>
    </row>
    <row r="215" spans="1:2" x14ac:dyDescent="0.25">
      <c r="A215" s="8">
        <v>44771</v>
      </c>
      <c r="B215">
        <v>40.1</v>
      </c>
    </row>
    <row r="216" spans="1:2" x14ac:dyDescent="0.25">
      <c r="A216" s="8">
        <v>44804</v>
      </c>
      <c r="B216">
        <v>42.4</v>
      </c>
    </row>
    <row r="217" spans="1:2" x14ac:dyDescent="0.25">
      <c r="A217" s="8">
        <v>44834</v>
      </c>
      <c r="B217">
        <v>60.8</v>
      </c>
    </row>
    <row r="218" spans="1:2" x14ac:dyDescent="0.25">
      <c r="A218" s="8">
        <v>44865</v>
      </c>
      <c r="B218">
        <v>45.7</v>
      </c>
    </row>
    <row r="219" spans="1:2" x14ac:dyDescent="0.25">
      <c r="A219" s="8">
        <v>44895</v>
      </c>
      <c r="B219">
        <v>40.200000000000003</v>
      </c>
    </row>
    <row r="220" spans="1:2" x14ac:dyDescent="0.25">
      <c r="A220" s="8">
        <v>44925</v>
      </c>
      <c r="B220">
        <v>47.6</v>
      </c>
    </row>
    <row r="221" spans="1:2" x14ac:dyDescent="0.25">
      <c r="A221" s="8">
        <v>44957</v>
      </c>
      <c r="B221">
        <v>36.700000000000003</v>
      </c>
    </row>
    <row r="222" spans="1:2" x14ac:dyDescent="0.25">
      <c r="A222" s="8">
        <v>44985</v>
      </c>
      <c r="B222">
        <v>38.6</v>
      </c>
    </row>
    <row r="223" spans="1:2" x14ac:dyDescent="0.25">
      <c r="A223" s="8">
        <v>45016</v>
      </c>
      <c r="B223">
        <v>45.6</v>
      </c>
    </row>
    <row r="224" spans="1:2" x14ac:dyDescent="0.25">
      <c r="A224" s="8">
        <v>45044</v>
      </c>
      <c r="B224">
        <v>38.5</v>
      </c>
    </row>
    <row r="225" spans="1:2" x14ac:dyDescent="0.25">
      <c r="A225" s="8">
        <v>45077</v>
      </c>
      <c r="B225">
        <v>39.700000000000003</v>
      </c>
    </row>
    <row r="226" spans="1:2" x14ac:dyDescent="0.25">
      <c r="A226" s="8">
        <v>45107</v>
      </c>
      <c r="B226">
        <v>27.5</v>
      </c>
    </row>
    <row r="227" spans="1:2" x14ac:dyDescent="0.25">
      <c r="A227" s="8">
        <v>45138</v>
      </c>
      <c r="B227">
        <v>24.1</v>
      </c>
    </row>
    <row r="228" spans="1:2" x14ac:dyDescent="0.25">
      <c r="A228" s="8">
        <v>45169</v>
      </c>
      <c r="B228">
        <v>34.5</v>
      </c>
    </row>
    <row r="229" spans="1:2" x14ac:dyDescent="0.25">
      <c r="A229" s="8">
        <v>45198</v>
      </c>
      <c r="B229">
        <v>40.9</v>
      </c>
    </row>
    <row r="230" spans="1:2" x14ac:dyDescent="0.25">
      <c r="A230" s="8">
        <v>45230</v>
      </c>
      <c r="B230">
        <v>43.2</v>
      </c>
    </row>
    <row r="231" spans="1:2" x14ac:dyDescent="0.25">
      <c r="A231" s="8">
        <v>45260</v>
      </c>
      <c r="B231">
        <v>19.600000000000001</v>
      </c>
    </row>
    <row r="232" spans="1:2" x14ac:dyDescent="0.25">
      <c r="A232" s="8">
        <v>45289</v>
      </c>
      <c r="B232">
        <v>25.1</v>
      </c>
    </row>
    <row r="233" spans="1:2" x14ac:dyDescent="0.25">
      <c r="A233" s="8">
        <v>45322</v>
      </c>
      <c r="B233">
        <v>26.1</v>
      </c>
    </row>
    <row r="234" spans="1:2" x14ac:dyDescent="0.25">
      <c r="A234" s="8">
        <v>45351</v>
      </c>
      <c r="B234">
        <v>21.3</v>
      </c>
    </row>
    <row r="235" spans="1:2" x14ac:dyDescent="0.25">
      <c r="A235" s="8">
        <v>45380</v>
      </c>
      <c r="B235">
        <v>22.4</v>
      </c>
    </row>
    <row r="236" spans="1:2" x14ac:dyDescent="0.25">
      <c r="A236" s="8">
        <v>45412</v>
      </c>
      <c r="B236">
        <v>33.9</v>
      </c>
    </row>
    <row r="237" spans="1:2" x14ac:dyDescent="0.25">
      <c r="A237" s="8">
        <v>45443</v>
      </c>
      <c r="B237">
        <v>26.7</v>
      </c>
    </row>
    <row r="238" spans="1:2" x14ac:dyDescent="0.25">
      <c r="A238" s="8">
        <v>45471</v>
      </c>
      <c r="B238">
        <v>28.3</v>
      </c>
    </row>
    <row r="239" spans="1:2" x14ac:dyDescent="0.25">
      <c r="A239" s="8">
        <v>45504</v>
      </c>
      <c r="B239">
        <v>31.7</v>
      </c>
    </row>
    <row r="240" spans="1:2" x14ac:dyDescent="0.25">
      <c r="A240" s="8">
        <v>45534</v>
      </c>
      <c r="B240">
        <v>27</v>
      </c>
    </row>
    <row r="241" spans="1:2" x14ac:dyDescent="0.25">
      <c r="A241" s="8">
        <v>45565</v>
      </c>
      <c r="B241">
        <v>23.7</v>
      </c>
    </row>
    <row r="242" spans="1:2" x14ac:dyDescent="0.25">
      <c r="A242" s="8">
        <v>45596</v>
      </c>
      <c r="B242">
        <v>30.9</v>
      </c>
    </row>
    <row r="243" spans="1:2" x14ac:dyDescent="0.25">
      <c r="A243" s="8">
        <v>45625</v>
      </c>
      <c r="B243">
        <v>38.6</v>
      </c>
    </row>
    <row r="244" spans="1:2" x14ac:dyDescent="0.25">
      <c r="A244" s="8">
        <v>45657</v>
      </c>
      <c r="B244">
        <v>34.1</v>
      </c>
    </row>
    <row r="245" spans="1:2" x14ac:dyDescent="0.25">
      <c r="A245" s="8">
        <v>45688</v>
      </c>
      <c r="B245">
        <v>34</v>
      </c>
    </row>
    <row r="246" spans="1:2" x14ac:dyDescent="0.25">
      <c r="A246" s="8">
        <v>45716</v>
      </c>
      <c r="B246">
        <v>60.6</v>
      </c>
    </row>
    <row r="247" spans="1:2" x14ac:dyDescent="0.25">
      <c r="A247" s="8">
        <v>45747</v>
      </c>
      <c r="B247">
        <v>52.2</v>
      </c>
    </row>
    <row r="248" spans="1:2" x14ac:dyDescent="0.25">
      <c r="A248" s="8">
        <v>45777</v>
      </c>
      <c r="B248">
        <v>55.6</v>
      </c>
    </row>
    <row r="249" spans="1:2" x14ac:dyDescent="0.25">
      <c r="A249" s="8">
        <v>45807</v>
      </c>
      <c r="B249">
        <v>41.9</v>
      </c>
    </row>
    <row r="250" spans="1:2" x14ac:dyDescent="0.25">
      <c r="A250" s="8">
        <v>45838</v>
      </c>
      <c r="B250">
        <v>40.299999999999997</v>
      </c>
    </row>
    <row r="251" spans="1:2" x14ac:dyDescent="0.25">
      <c r="A251" s="8">
        <v>45869</v>
      </c>
      <c r="B251">
        <v>33</v>
      </c>
    </row>
    <row r="252" spans="1:2" x14ac:dyDescent="0.25">
      <c r="A252" s="8">
        <v>45898</v>
      </c>
      <c r="B252">
        <v>39.4</v>
      </c>
    </row>
    <row r="253" spans="1:2" x14ac:dyDescent="0.25">
      <c r="A253" s="8">
        <v>45930</v>
      </c>
      <c r="B253">
        <v>39.200000000000003</v>
      </c>
    </row>
    <row r="254" spans="1:2" x14ac:dyDescent="0.25">
      <c r="A254" s="8">
        <v>45961</v>
      </c>
      <c r="B254">
        <v>36.9</v>
      </c>
    </row>
    <row r="255" spans="1:2" x14ac:dyDescent="0.25">
      <c r="A255" s="8">
        <v>45989</v>
      </c>
      <c r="B255">
        <v>42.7</v>
      </c>
    </row>
    <row r="256" spans="1:2" x14ac:dyDescent="0.25">
      <c r="A256" s="8">
        <v>46022</v>
      </c>
      <c r="B256">
        <v>34.799999999999997</v>
      </c>
    </row>
    <row r="257" spans="1:4" x14ac:dyDescent="0.25">
      <c r="A257" s="8">
        <v>46052</v>
      </c>
      <c r="B257">
        <v>30.8</v>
      </c>
    </row>
    <row r="271" spans="1:4" x14ac:dyDescent="0.25">
      <c r="A271" s="6" t="s">
        <v>292</v>
      </c>
      <c r="B271" s="6" t="s">
        <v>293</v>
      </c>
      <c r="C271" s="6" t="s">
        <v>294</v>
      </c>
      <c r="D271" s="6" t="s">
        <v>54</v>
      </c>
    </row>
    <row r="272" spans="1:4" x14ac:dyDescent="0.25">
      <c r="A272" s="8">
        <f ca="1">_xll.BDH("PCUSEQTR Index","PX_LAST","02/01/2016",TODAY(),"Per=M","cols=2;rows=121")</f>
        <v>42398</v>
      </c>
      <c r="B272">
        <v>0.57999999999999996</v>
      </c>
    </row>
    <row r="273" spans="1:2" x14ac:dyDescent="0.25">
      <c r="A273" s="8">
        <v>42429</v>
      </c>
      <c r="B273">
        <v>0.6</v>
      </c>
    </row>
    <row r="274" spans="1:2" x14ac:dyDescent="0.25">
      <c r="A274" s="8">
        <v>42460</v>
      </c>
      <c r="B274">
        <v>0.68</v>
      </c>
    </row>
    <row r="275" spans="1:2" x14ac:dyDescent="0.25">
      <c r="A275" s="8">
        <v>42489</v>
      </c>
      <c r="B275">
        <v>0.86</v>
      </c>
    </row>
    <row r="276" spans="1:2" x14ac:dyDescent="0.25">
      <c r="A276" s="8">
        <v>42521</v>
      </c>
      <c r="B276">
        <v>0.57999999999999996</v>
      </c>
    </row>
    <row r="277" spans="1:2" x14ac:dyDescent="0.25">
      <c r="A277" s="8">
        <v>42551</v>
      </c>
      <c r="B277">
        <v>0.65</v>
      </c>
    </row>
    <row r="278" spans="1:2" x14ac:dyDescent="0.25">
      <c r="A278" s="8">
        <v>42580</v>
      </c>
      <c r="B278">
        <v>0.62</v>
      </c>
    </row>
    <row r="279" spans="1:2" x14ac:dyDescent="0.25">
      <c r="A279" s="8">
        <v>42613</v>
      </c>
      <c r="B279">
        <v>0.7</v>
      </c>
    </row>
    <row r="280" spans="1:2" x14ac:dyDescent="0.25">
      <c r="A280" s="8">
        <v>42643</v>
      </c>
      <c r="B280">
        <v>0.61</v>
      </c>
    </row>
    <row r="281" spans="1:2" x14ac:dyDescent="0.25">
      <c r="A281" s="8">
        <v>42674</v>
      </c>
      <c r="B281">
        <v>0.75</v>
      </c>
    </row>
    <row r="282" spans="1:2" x14ac:dyDescent="0.25">
      <c r="A282" s="8">
        <v>42704</v>
      </c>
      <c r="B282">
        <v>0.54</v>
      </c>
    </row>
    <row r="283" spans="1:2" x14ac:dyDescent="0.25">
      <c r="A283" s="8">
        <v>42734</v>
      </c>
      <c r="B283">
        <v>0.76</v>
      </c>
    </row>
    <row r="284" spans="1:2" x14ac:dyDescent="0.25">
      <c r="A284" s="8">
        <v>42766</v>
      </c>
      <c r="B284">
        <v>0.7</v>
      </c>
    </row>
    <row r="285" spans="1:2" x14ac:dyDescent="0.25">
      <c r="A285" s="8">
        <v>42794</v>
      </c>
      <c r="B285">
        <v>0.7</v>
      </c>
    </row>
    <row r="286" spans="1:2" x14ac:dyDescent="0.25">
      <c r="A286" s="8">
        <v>42825</v>
      </c>
      <c r="B286">
        <v>0.56000000000000005</v>
      </c>
    </row>
    <row r="287" spans="1:2" x14ac:dyDescent="0.25">
      <c r="A287" s="8">
        <v>42853</v>
      </c>
      <c r="B287">
        <v>0.68</v>
      </c>
    </row>
    <row r="288" spans="1:2" x14ac:dyDescent="0.25">
      <c r="A288" s="8">
        <v>42886</v>
      </c>
      <c r="B288">
        <v>0.63</v>
      </c>
    </row>
    <row r="289" spans="1:2" x14ac:dyDescent="0.25">
      <c r="A289" s="8">
        <v>42916</v>
      </c>
      <c r="B289">
        <v>0.67</v>
      </c>
    </row>
    <row r="290" spans="1:2" x14ac:dyDescent="0.25">
      <c r="A290" s="8">
        <v>42947</v>
      </c>
      <c r="B290">
        <v>0.62</v>
      </c>
    </row>
    <row r="291" spans="1:2" x14ac:dyDescent="0.25">
      <c r="A291" s="8">
        <v>42978</v>
      </c>
      <c r="B291">
        <v>0.56999999999999995</v>
      </c>
    </row>
    <row r="292" spans="1:2" x14ac:dyDescent="0.25">
      <c r="A292" s="8">
        <v>43007</v>
      </c>
      <c r="B292">
        <v>0.59</v>
      </c>
    </row>
    <row r="293" spans="1:2" x14ac:dyDescent="0.25">
      <c r="A293" s="8">
        <v>43039</v>
      </c>
      <c r="B293">
        <v>0.56999999999999995</v>
      </c>
    </row>
    <row r="294" spans="1:2" x14ac:dyDescent="0.25">
      <c r="A294" s="8">
        <v>43069</v>
      </c>
      <c r="B294">
        <v>0.55000000000000004</v>
      </c>
    </row>
    <row r="295" spans="1:2" x14ac:dyDescent="0.25">
      <c r="A295" s="8">
        <v>43098</v>
      </c>
      <c r="B295">
        <v>0.59</v>
      </c>
    </row>
    <row r="296" spans="1:2" x14ac:dyDescent="0.25">
      <c r="A296" s="8">
        <v>43131</v>
      </c>
      <c r="B296">
        <v>0.59</v>
      </c>
    </row>
    <row r="297" spans="1:2" x14ac:dyDescent="0.25">
      <c r="A297" s="8">
        <v>43159</v>
      </c>
      <c r="B297">
        <v>0.67</v>
      </c>
    </row>
    <row r="298" spans="1:2" x14ac:dyDescent="0.25">
      <c r="A298" s="8">
        <v>43189</v>
      </c>
      <c r="B298">
        <v>0.63</v>
      </c>
    </row>
    <row r="299" spans="1:2" x14ac:dyDescent="0.25">
      <c r="A299" s="8">
        <v>43220</v>
      </c>
      <c r="B299">
        <v>0.61</v>
      </c>
    </row>
    <row r="300" spans="1:2" x14ac:dyDescent="0.25">
      <c r="A300" s="8">
        <v>43251</v>
      </c>
      <c r="B300">
        <v>0.63</v>
      </c>
    </row>
    <row r="301" spans="1:2" x14ac:dyDescent="0.25">
      <c r="A301" s="8">
        <v>43280</v>
      </c>
      <c r="B301">
        <v>0.69</v>
      </c>
    </row>
    <row r="302" spans="1:2" x14ac:dyDescent="0.25">
      <c r="A302" s="8">
        <v>43312</v>
      </c>
      <c r="B302">
        <v>0.69</v>
      </c>
    </row>
    <row r="303" spans="1:2" x14ac:dyDescent="0.25">
      <c r="A303" s="8">
        <v>43343</v>
      </c>
      <c r="B303">
        <v>0.63</v>
      </c>
    </row>
    <row r="304" spans="1:2" x14ac:dyDescent="0.25">
      <c r="A304" s="8">
        <v>43371</v>
      </c>
      <c r="B304">
        <v>0.64</v>
      </c>
    </row>
    <row r="305" spans="1:2" x14ac:dyDescent="0.25">
      <c r="A305" s="8">
        <v>43404</v>
      </c>
      <c r="B305">
        <v>0.65</v>
      </c>
    </row>
    <row r="306" spans="1:2" x14ac:dyDescent="0.25">
      <c r="A306" s="8">
        <v>43434</v>
      </c>
      <c r="B306">
        <v>0.53</v>
      </c>
    </row>
    <row r="307" spans="1:2" x14ac:dyDescent="0.25">
      <c r="A307" s="8">
        <v>43465</v>
      </c>
      <c r="B307">
        <v>0.6</v>
      </c>
    </row>
    <row r="308" spans="1:2" x14ac:dyDescent="0.25">
      <c r="A308" s="8">
        <v>43496</v>
      </c>
      <c r="B308">
        <v>0.53</v>
      </c>
    </row>
    <row r="309" spans="1:2" x14ac:dyDescent="0.25">
      <c r="A309" s="8">
        <v>43524</v>
      </c>
      <c r="B309">
        <v>0.63</v>
      </c>
    </row>
    <row r="310" spans="1:2" x14ac:dyDescent="0.25">
      <c r="A310" s="8">
        <v>43553</v>
      </c>
      <c r="B310">
        <v>0.65</v>
      </c>
    </row>
    <row r="311" spans="1:2" x14ac:dyDescent="0.25">
      <c r="A311" s="8">
        <v>43585</v>
      </c>
      <c r="B311">
        <v>0.65</v>
      </c>
    </row>
    <row r="312" spans="1:2" x14ac:dyDescent="0.25">
      <c r="A312" s="8">
        <v>43616</v>
      </c>
      <c r="B312">
        <v>0.83</v>
      </c>
    </row>
    <row r="313" spans="1:2" x14ac:dyDescent="0.25">
      <c r="A313" s="8">
        <v>43644</v>
      </c>
      <c r="B313">
        <v>0.55000000000000004</v>
      </c>
    </row>
    <row r="314" spans="1:2" x14ac:dyDescent="0.25">
      <c r="A314" s="8">
        <v>43677</v>
      </c>
      <c r="B314">
        <v>0.62</v>
      </c>
    </row>
    <row r="315" spans="1:2" x14ac:dyDescent="0.25">
      <c r="A315" s="8">
        <v>43707</v>
      </c>
      <c r="B315">
        <v>0.68</v>
      </c>
    </row>
    <row r="316" spans="1:2" x14ac:dyDescent="0.25">
      <c r="A316" s="8">
        <v>43738</v>
      </c>
      <c r="B316">
        <v>0.67</v>
      </c>
    </row>
    <row r="317" spans="1:2" x14ac:dyDescent="0.25">
      <c r="A317" s="8">
        <v>43769</v>
      </c>
      <c r="B317">
        <v>0.71</v>
      </c>
    </row>
    <row r="318" spans="1:2" x14ac:dyDescent="0.25">
      <c r="A318" s="8">
        <v>43798</v>
      </c>
      <c r="B318">
        <v>0.59</v>
      </c>
    </row>
    <row r="319" spans="1:2" x14ac:dyDescent="0.25">
      <c r="A319" s="8">
        <v>43830</v>
      </c>
      <c r="B319">
        <v>0.56000000000000005</v>
      </c>
    </row>
    <row r="320" spans="1:2" x14ac:dyDescent="0.25">
      <c r="A320" s="8">
        <v>43861</v>
      </c>
      <c r="B320">
        <v>0.74</v>
      </c>
    </row>
    <row r="321" spans="1:2" x14ac:dyDescent="0.25">
      <c r="A321" s="8">
        <v>43889</v>
      </c>
      <c r="B321">
        <v>0.85</v>
      </c>
    </row>
    <row r="322" spans="1:2" x14ac:dyDescent="0.25">
      <c r="A322" s="8">
        <v>43921</v>
      </c>
      <c r="B322">
        <v>0.7</v>
      </c>
    </row>
    <row r="323" spans="1:2" x14ac:dyDescent="0.25">
      <c r="A323" s="8">
        <v>43951</v>
      </c>
      <c r="B323">
        <v>0.68</v>
      </c>
    </row>
    <row r="324" spans="1:2" x14ac:dyDescent="0.25">
      <c r="A324" s="8">
        <v>43980</v>
      </c>
      <c r="B324">
        <v>0.57999999999999996</v>
      </c>
    </row>
    <row r="325" spans="1:2" x14ac:dyDescent="0.25">
      <c r="A325" s="8">
        <v>44012</v>
      </c>
      <c r="B325">
        <v>0.52</v>
      </c>
    </row>
    <row r="326" spans="1:2" x14ac:dyDescent="0.25">
      <c r="A326" s="8">
        <v>44043</v>
      </c>
      <c r="B326">
        <v>0.54</v>
      </c>
    </row>
    <row r="327" spans="1:2" x14ac:dyDescent="0.25">
      <c r="A327" s="8">
        <v>44074</v>
      </c>
      <c r="B327">
        <v>0.45</v>
      </c>
    </row>
    <row r="328" spans="1:2" x14ac:dyDescent="0.25">
      <c r="A328" s="8">
        <v>44104</v>
      </c>
      <c r="B328">
        <v>0.45</v>
      </c>
    </row>
    <row r="329" spans="1:2" x14ac:dyDescent="0.25">
      <c r="A329" s="8">
        <v>44134</v>
      </c>
      <c r="B329">
        <v>0.77</v>
      </c>
    </row>
    <row r="330" spans="1:2" x14ac:dyDescent="0.25">
      <c r="A330" s="8">
        <v>44165</v>
      </c>
      <c r="B330">
        <v>0.43</v>
      </c>
    </row>
    <row r="331" spans="1:2" x14ac:dyDescent="0.25">
      <c r="A331" s="8">
        <v>44196</v>
      </c>
      <c r="B331">
        <v>0.56000000000000005</v>
      </c>
    </row>
    <row r="332" spans="1:2" x14ac:dyDescent="0.25">
      <c r="A332" s="8">
        <v>44225</v>
      </c>
      <c r="B332">
        <v>0.57999999999999996</v>
      </c>
    </row>
    <row r="333" spans="1:2" x14ac:dyDescent="0.25">
      <c r="A333" s="8">
        <v>44253</v>
      </c>
      <c r="B333">
        <v>0.63</v>
      </c>
    </row>
    <row r="334" spans="1:2" x14ac:dyDescent="0.25">
      <c r="A334" s="8">
        <v>44286</v>
      </c>
      <c r="B334">
        <v>0.42</v>
      </c>
    </row>
    <row r="335" spans="1:2" x14ac:dyDescent="0.25">
      <c r="A335" s="8">
        <v>44316</v>
      </c>
      <c r="B335">
        <v>0.59</v>
      </c>
    </row>
    <row r="336" spans="1:2" x14ac:dyDescent="0.25">
      <c r="A336" s="8">
        <v>44347</v>
      </c>
      <c r="B336">
        <v>0.45</v>
      </c>
    </row>
    <row r="337" spans="1:2" x14ac:dyDescent="0.25">
      <c r="A337" s="8">
        <v>44377</v>
      </c>
      <c r="B337">
        <v>0.4</v>
      </c>
    </row>
    <row r="338" spans="1:2" x14ac:dyDescent="0.25">
      <c r="A338" s="8">
        <v>44407</v>
      </c>
      <c r="B338">
        <v>0.56000000000000005</v>
      </c>
    </row>
    <row r="339" spans="1:2" x14ac:dyDescent="0.25">
      <c r="A339" s="8">
        <v>44439</v>
      </c>
      <c r="B339">
        <v>0.46</v>
      </c>
    </row>
    <row r="340" spans="1:2" x14ac:dyDescent="0.25">
      <c r="A340" s="8">
        <v>44469</v>
      </c>
      <c r="B340">
        <v>0.57999999999999996</v>
      </c>
    </row>
    <row r="341" spans="1:2" x14ac:dyDescent="0.25">
      <c r="A341" s="8">
        <v>44498</v>
      </c>
      <c r="B341">
        <v>0.46</v>
      </c>
    </row>
    <row r="342" spans="1:2" x14ac:dyDescent="0.25">
      <c r="A342" s="8">
        <v>44530</v>
      </c>
      <c r="B342">
        <v>0.48</v>
      </c>
    </row>
    <row r="343" spans="1:2" x14ac:dyDescent="0.25">
      <c r="A343" s="8">
        <v>44561</v>
      </c>
      <c r="B343">
        <v>0.55000000000000004</v>
      </c>
    </row>
    <row r="344" spans="1:2" x14ac:dyDescent="0.25">
      <c r="A344" s="8">
        <v>44592</v>
      </c>
      <c r="B344">
        <v>0.53</v>
      </c>
    </row>
    <row r="345" spans="1:2" x14ac:dyDescent="0.25">
      <c r="A345" s="8">
        <v>44620</v>
      </c>
      <c r="B345">
        <v>0.49</v>
      </c>
    </row>
    <row r="346" spans="1:2" x14ac:dyDescent="0.25">
      <c r="A346" s="8">
        <v>44651</v>
      </c>
      <c r="B346">
        <v>0.55000000000000004</v>
      </c>
    </row>
    <row r="347" spans="1:2" x14ac:dyDescent="0.25">
      <c r="A347" s="8">
        <v>44680</v>
      </c>
      <c r="B347">
        <v>0.78</v>
      </c>
    </row>
    <row r="348" spans="1:2" x14ac:dyDescent="0.25">
      <c r="A348" s="8">
        <v>44712</v>
      </c>
      <c r="B348">
        <v>0.64</v>
      </c>
    </row>
    <row r="349" spans="1:2" x14ac:dyDescent="0.25">
      <c r="A349" s="8">
        <v>44742</v>
      </c>
      <c r="B349">
        <v>0.74</v>
      </c>
    </row>
    <row r="350" spans="1:2" x14ac:dyDescent="0.25">
      <c r="A350" s="8">
        <v>44771</v>
      </c>
      <c r="B350">
        <v>0.61</v>
      </c>
    </row>
    <row r="351" spans="1:2" x14ac:dyDescent="0.25">
      <c r="A351" s="8">
        <v>44804</v>
      </c>
      <c r="B351">
        <v>0.78</v>
      </c>
    </row>
    <row r="352" spans="1:2" x14ac:dyDescent="0.25">
      <c r="A352" s="8">
        <v>44834</v>
      </c>
      <c r="B352">
        <v>0.77</v>
      </c>
    </row>
    <row r="353" spans="1:2" x14ac:dyDescent="0.25">
      <c r="A353" s="8">
        <v>44865</v>
      </c>
      <c r="B353">
        <v>0.61</v>
      </c>
    </row>
    <row r="354" spans="1:2" x14ac:dyDescent="0.25">
      <c r="A354" s="8">
        <v>44895</v>
      </c>
      <c r="B354">
        <v>1.27</v>
      </c>
    </row>
    <row r="355" spans="1:2" x14ac:dyDescent="0.25">
      <c r="A355" s="8">
        <v>44925</v>
      </c>
      <c r="B355">
        <v>0.84</v>
      </c>
    </row>
    <row r="356" spans="1:2" x14ac:dyDescent="0.25">
      <c r="A356" s="8">
        <v>44957</v>
      </c>
      <c r="B356">
        <v>0.66</v>
      </c>
    </row>
    <row r="357" spans="1:2" x14ac:dyDescent="0.25">
      <c r="A357" s="8">
        <v>44985</v>
      </c>
      <c r="B357">
        <v>0.69</v>
      </c>
    </row>
    <row r="358" spans="1:2" x14ac:dyDescent="0.25">
      <c r="A358" s="8">
        <v>45016</v>
      </c>
      <c r="B358">
        <v>0.59</v>
      </c>
    </row>
    <row r="359" spans="1:2" x14ac:dyDescent="0.25">
      <c r="A359" s="8">
        <v>45044</v>
      </c>
      <c r="B359">
        <v>0.76</v>
      </c>
    </row>
    <row r="360" spans="1:2" x14ac:dyDescent="0.25">
      <c r="A360" s="8">
        <v>45077</v>
      </c>
      <c r="B360">
        <v>0.81</v>
      </c>
    </row>
    <row r="361" spans="1:2" x14ac:dyDescent="0.25">
      <c r="A361" s="8">
        <v>45107</v>
      </c>
      <c r="B361">
        <v>0.53</v>
      </c>
    </row>
    <row r="362" spans="1:2" x14ac:dyDescent="0.25">
      <c r="A362" s="8">
        <v>45138</v>
      </c>
      <c r="B362">
        <v>0.56000000000000005</v>
      </c>
    </row>
    <row r="363" spans="1:2" x14ac:dyDescent="0.25">
      <c r="A363" s="8">
        <v>45169</v>
      </c>
      <c r="B363">
        <v>0.67</v>
      </c>
    </row>
    <row r="364" spans="1:2" x14ac:dyDescent="0.25">
      <c r="A364" s="8">
        <v>45198</v>
      </c>
      <c r="B364">
        <v>0.73</v>
      </c>
    </row>
    <row r="365" spans="1:2" x14ac:dyDescent="0.25">
      <c r="A365" s="8">
        <v>45230</v>
      </c>
      <c r="B365">
        <v>0.82</v>
      </c>
    </row>
    <row r="366" spans="1:2" x14ac:dyDescent="0.25">
      <c r="A366" s="8">
        <v>45260</v>
      </c>
      <c r="B366">
        <v>0.6</v>
      </c>
    </row>
    <row r="367" spans="1:2" x14ac:dyDescent="0.25">
      <c r="A367" s="8">
        <v>45289</v>
      </c>
      <c r="B367">
        <v>0.65</v>
      </c>
    </row>
    <row r="368" spans="1:2" x14ac:dyDescent="0.25">
      <c r="A368" s="8">
        <v>45322</v>
      </c>
      <c r="B368">
        <v>0.64</v>
      </c>
    </row>
    <row r="369" spans="1:2" x14ac:dyDescent="0.25">
      <c r="A369" s="8">
        <v>45351</v>
      </c>
      <c r="B369">
        <v>0.64</v>
      </c>
    </row>
    <row r="370" spans="1:2" x14ac:dyDescent="0.25">
      <c r="A370" s="8">
        <v>45380</v>
      </c>
      <c r="B370">
        <v>0.56000000000000005</v>
      </c>
    </row>
    <row r="371" spans="1:2" x14ac:dyDescent="0.25">
      <c r="A371" s="8">
        <v>45412</v>
      </c>
      <c r="B371">
        <v>0.6</v>
      </c>
    </row>
    <row r="372" spans="1:2" x14ac:dyDescent="0.25">
      <c r="A372" s="8">
        <v>45443</v>
      </c>
      <c r="B372">
        <v>0.73</v>
      </c>
    </row>
    <row r="373" spans="1:2" x14ac:dyDescent="0.25">
      <c r="A373" s="8">
        <v>45471</v>
      </c>
      <c r="B373">
        <v>0.64</v>
      </c>
    </row>
    <row r="374" spans="1:2" x14ac:dyDescent="0.25">
      <c r="A374" s="8">
        <v>45504</v>
      </c>
      <c r="B374">
        <v>0.59</v>
      </c>
    </row>
    <row r="375" spans="1:2" x14ac:dyDescent="0.25">
      <c r="A375" s="8">
        <v>45534</v>
      </c>
      <c r="B375">
        <v>0.6</v>
      </c>
    </row>
    <row r="376" spans="1:2" x14ac:dyDescent="0.25">
      <c r="A376" s="8">
        <v>45565</v>
      </c>
      <c r="B376">
        <v>0.55000000000000004</v>
      </c>
    </row>
    <row r="377" spans="1:2" x14ac:dyDescent="0.25">
      <c r="A377" s="8">
        <v>45596</v>
      </c>
      <c r="B377">
        <v>0.63</v>
      </c>
    </row>
    <row r="378" spans="1:2" x14ac:dyDescent="0.25">
      <c r="A378" s="8">
        <v>45625</v>
      </c>
      <c r="B378">
        <v>0.56000000000000005</v>
      </c>
    </row>
    <row r="379" spans="1:2" x14ac:dyDescent="0.25">
      <c r="A379" s="8">
        <v>45657</v>
      </c>
      <c r="B379">
        <v>0.46</v>
      </c>
    </row>
    <row r="380" spans="1:2" x14ac:dyDescent="0.25">
      <c r="A380" s="8">
        <v>45688</v>
      </c>
      <c r="B380">
        <v>0.49</v>
      </c>
    </row>
    <row r="381" spans="1:2" x14ac:dyDescent="0.25">
      <c r="A381" s="8">
        <v>45716</v>
      </c>
      <c r="B381">
        <v>0.61</v>
      </c>
    </row>
    <row r="382" spans="1:2" x14ac:dyDescent="0.25">
      <c r="A382" s="8">
        <v>45747</v>
      </c>
      <c r="B382">
        <v>0.57999999999999996</v>
      </c>
    </row>
    <row r="383" spans="1:2" x14ac:dyDescent="0.25">
      <c r="A383" s="8">
        <v>45777</v>
      </c>
      <c r="B383">
        <v>0.67</v>
      </c>
    </row>
    <row r="384" spans="1:2" x14ac:dyDescent="0.25">
      <c r="A384" s="8">
        <v>45807</v>
      </c>
      <c r="B384">
        <v>0.56999999999999995</v>
      </c>
    </row>
    <row r="385" spans="1:2" x14ac:dyDescent="0.25">
      <c r="A385" s="8">
        <v>45838</v>
      </c>
      <c r="B385">
        <v>0.51</v>
      </c>
    </row>
    <row r="386" spans="1:2" x14ac:dyDescent="0.25">
      <c r="A386" s="8">
        <v>45869</v>
      </c>
      <c r="B386">
        <v>0.84</v>
      </c>
    </row>
    <row r="387" spans="1:2" x14ac:dyDescent="0.25">
      <c r="A387" s="8">
        <v>45898</v>
      </c>
      <c r="B387">
        <v>0.56000000000000005</v>
      </c>
    </row>
    <row r="388" spans="1:2" x14ac:dyDescent="0.25">
      <c r="A388" s="8">
        <v>45930</v>
      </c>
      <c r="B388">
        <v>0.57999999999999996</v>
      </c>
    </row>
    <row r="389" spans="1:2" x14ac:dyDescent="0.25">
      <c r="A389" s="8">
        <v>45961</v>
      </c>
      <c r="B389">
        <v>0.55000000000000004</v>
      </c>
    </row>
    <row r="390" spans="1:2" x14ac:dyDescent="0.25">
      <c r="A390" s="8">
        <v>45989</v>
      </c>
      <c r="B390">
        <v>0.44</v>
      </c>
    </row>
    <row r="391" spans="1:2" x14ac:dyDescent="0.25">
      <c r="A391" s="8">
        <v>46022</v>
      </c>
      <c r="B391">
        <v>0.92</v>
      </c>
    </row>
    <row r="392" spans="1:2" x14ac:dyDescent="0.25">
      <c r="A392" s="8">
        <v>46052</v>
      </c>
      <c r="B392">
        <v>0.57999999999999996</v>
      </c>
    </row>
    <row r="406" spans="1:4" x14ac:dyDescent="0.25">
      <c r="A406" s="6" t="s">
        <v>295</v>
      </c>
      <c r="B406" s="6" t="s">
        <v>296</v>
      </c>
      <c r="C406" s="6" t="s">
        <v>297</v>
      </c>
      <c r="D406" s="6" t="s">
        <v>54</v>
      </c>
    </row>
    <row r="407" spans="1:4" x14ac:dyDescent="0.25">
      <c r="A407" t="str">
        <f ca="1">_xll.BDH("NAAIM Index","PX_LAST","02/01/2016",TODAY(),"Per=M")</f>
        <v>#N/A Invalid Security</v>
      </c>
    </row>
    <row r="541" spans="1:4" x14ac:dyDescent="0.25">
      <c r="A541" s="6" t="s">
        <v>298</v>
      </c>
      <c r="B541" s="6" t="s">
        <v>299</v>
      </c>
      <c r="C541" s="6" t="s">
        <v>300</v>
      </c>
      <c r="D541" s="6" t="s">
        <v>54</v>
      </c>
    </row>
    <row r="542" spans="1:4" x14ac:dyDescent="0.25">
      <c r="A542" t="str">
        <f ca="1">_xll.BDH("INELBULL Index","PX_LAST","02/01/2016",TODAY(),"Per=M")</f>
        <v>#N/A Invalid Security</v>
      </c>
    </row>
    <row r="676" spans="1:4" x14ac:dyDescent="0.25">
      <c r="A676" s="6" t="s">
        <v>301</v>
      </c>
      <c r="B676" s="6" t="s">
        <v>302</v>
      </c>
      <c r="C676" s="6" t="s">
        <v>303</v>
      </c>
      <c r="D676" s="6" t="s">
        <v>54</v>
      </c>
    </row>
    <row r="677" spans="1:4" x14ac:dyDescent="0.25">
      <c r="A677" t="str">
        <f ca="1">_xll.BDH("INELBEAR Index","PX_LAST","02/01/2016",TODAY(),"Per=M")</f>
        <v>#N/A Invalid Security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76749"/>
  </sheetPr>
  <dimension ref="A1:D1877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304</v>
      </c>
      <c r="B1" s="6" t="s">
        <v>305</v>
      </c>
      <c r="C1" s="6" t="s">
        <v>306</v>
      </c>
      <c r="D1" s="6" t="s">
        <v>307</v>
      </c>
    </row>
    <row r="2" spans="1:4" x14ac:dyDescent="0.25">
      <c r="A2" s="8">
        <f ca="1">_xll.BDH("SPX Index","BEST_PE_RATIO","02/01/2016",TODAY(),"Per=M","cols=2;rows=121")</f>
        <v>42398</v>
      </c>
      <c r="B2">
        <v>16.861799999999999</v>
      </c>
    </row>
    <row r="3" spans="1:4" x14ac:dyDescent="0.25">
      <c r="A3" s="8">
        <v>42429</v>
      </c>
      <c r="B3">
        <v>16.221499999999999</v>
      </c>
    </row>
    <row r="4" spans="1:4" x14ac:dyDescent="0.25">
      <c r="A4" s="8">
        <v>42460</v>
      </c>
      <c r="B4">
        <v>17.413399999999999</v>
      </c>
    </row>
    <row r="5" spans="1:4" x14ac:dyDescent="0.25">
      <c r="A5" s="8">
        <v>42489</v>
      </c>
      <c r="B5">
        <v>17.669699999999999</v>
      </c>
    </row>
    <row r="6" spans="1:4" x14ac:dyDescent="0.25">
      <c r="A6" s="8">
        <v>42521</v>
      </c>
      <c r="B6">
        <v>17.933800000000002</v>
      </c>
    </row>
    <row r="7" spans="1:4" x14ac:dyDescent="0.25">
      <c r="A7" s="8">
        <v>42551</v>
      </c>
      <c r="B7">
        <v>17.979700000000001</v>
      </c>
    </row>
    <row r="8" spans="1:4" x14ac:dyDescent="0.25">
      <c r="A8" s="8">
        <v>42580</v>
      </c>
      <c r="B8">
        <v>18.704699999999999</v>
      </c>
    </row>
    <row r="9" spans="1:4" x14ac:dyDescent="0.25">
      <c r="A9" s="8">
        <v>42613</v>
      </c>
      <c r="B9">
        <v>18.794599999999999</v>
      </c>
    </row>
    <row r="10" spans="1:4" x14ac:dyDescent="0.25">
      <c r="A10" s="8">
        <v>42643</v>
      </c>
      <c r="B10">
        <v>18.8447</v>
      </c>
    </row>
    <row r="11" spans="1:4" x14ac:dyDescent="0.25">
      <c r="A11" s="8">
        <v>42674</v>
      </c>
      <c r="B11">
        <v>18.421900000000001</v>
      </c>
    </row>
    <row r="12" spans="1:4" x14ac:dyDescent="0.25">
      <c r="A12" s="8">
        <v>42704</v>
      </c>
      <c r="B12">
        <v>19.061900000000001</v>
      </c>
    </row>
    <row r="13" spans="1:4" x14ac:dyDescent="0.25">
      <c r="A13" s="8">
        <v>42734</v>
      </c>
      <c r="B13">
        <v>19.373999999999999</v>
      </c>
    </row>
    <row r="14" spans="1:4" x14ac:dyDescent="0.25">
      <c r="A14" s="8">
        <v>42766</v>
      </c>
      <c r="B14">
        <v>20.088200000000001</v>
      </c>
    </row>
    <row r="15" spans="1:4" x14ac:dyDescent="0.25">
      <c r="A15" s="8">
        <v>42794</v>
      </c>
      <c r="B15">
        <v>18.240600000000001</v>
      </c>
    </row>
    <row r="16" spans="1:4" x14ac:dyDescent="0.25">
      <c r="A16" s="8">
        <v>42825</v>
      </c>
      <c r="B16">
        <v>18.147099999999998</v>
      </c>
    </row>
    <row r="17" spans="1:2" x14ac:dyDescent="0.25">
      <c r="A17" s="8">
        <v>42853</v>
      </c>
      <c r="B17">
        <v>18.2803</v>
      </c>
    </row>
    <row r="18" spans="1:2" x14ac:dyDescent="0.25">
      <c r="A18" s="8">
        <v>42886</v>
      </c>
      <c r="B18">
        <v>18.543600000000001</v>
      </c>
    </row>
    <row r="19" spans="1:2" x14ac:dyDescent="0.25">
      <c r="A19" s="8">
        <v>42916</v>
      </c>
      <c r="B19">
        <v>18.623899999999999</v>
      </c>
    </row>
    <row r="20" spans="1:2" x14ac:dyDescent="0.25">
      <c r="A20" s="8">
        <v>42947</v>
      </c>
      <c r="B20">
        <v>18.843499999999999</v>
      </c>
    </row>
    <row r="21" spans="1:2" x14ac:dyDescent="0.25">
      <c r="A21" s="8">
        <v>42978</v>
      </c>
      <c r="B21">
        <v>18.842199999999998</v>
      </c>
    </row>
    <row r="22" spans="1:2" x14ac:dyDescent="0.25">
      <c r="A22" s="8">
        <v>43007</v>
      </c>
      <c r="B22">
        <v>19.271699999999999</v>
      </c>
    </row>
    <row r="23" spans="1:2" x14ac:dyDescent="0.25">
      <c r="A23" s="8">
        <v>43039</v>
      </c>
      <c r="B23">
        <v>19.699200000000001</v>
      </c>
    </row>
    <row r="24" spans="1:2" x14ac:dyDescent="0.25">
      <c r="A24" s="8">
        <v>43069</v>
      </c>
      <c r="B24">
        <v>20.262599999999999</v>
      </c>
    </row>
    <row r="25" spans="1:2" x14ac:dyDescent="0.25">
      <c r="A25" s="8">
        <v>43098</v>
      </c>
      <c r="B25">
        <v>20.390699999999999</v>
      </c>
    </row>
    <row r="26" spans="1:2" x14ac:dyDescent="0.25">
      <c r="A26" s="8">
        <v>43131</v>
      </c>
      <c r="B26">
        <v>21.8828</v>
      </c>
    </row>
    <row r="27" spans="1:2" x14ac:dyDescent="0.25">
      <c r="A27" s="8">
        <v>43159</v>
      </c>
      <c r="B27">
        <v>17.234500000000001</v>
      </c>
    </row>
    <row r="28" spans="1:2" x14ac:dyDescent="0.25">
      <c r="A28" s="8">
        <v>43189</v>
      </c>
      <c r="B28">
        <v>16.721900000000002</v>
      </c>
    </row>
    <row r="29" spans="1:2" x14ac:dyDescent="0.25">
      <c r="A29" s="8">
        <v>43220</v>
      </c>
      <c r="B29">
        <v>16.616599999999998</v>
      </c>
    </row>
    <row r="30" spans="1:2" x14ac:dyDescent="0.25">
      <c r="A30" s="8">
        <v>43251</v>
      </c>
      <c r="B30">
        <v>16.927199999999999</v>
      </c>
    </row>
    <row r="31" spans="1:2" x14ac:dyDescent="0.25">
      <c r="A31" s="8">
        <v>43280</v>
      </c>
      <c r="B31">
        <v>16.921099999999999</v>
      </c>
    </row>
    <row r="32" spans="1:2" x14ac:dyDescent="0.25">
      <c r="A32" s="8">
        <v>43312</v>
      </c>
      <c r="B32">
        <v>17.467400000000001</v>
      </c>
    </row>
    <row r="33" spans="1:2" x14ac:dyDescent="0.25">
      <c r="A33" s="8">
        <v>43343</v>
      </c>
      <c r="B33">
        <v>18.056000000000001</v>
      </c>
    </row>
    <row r="34" spans="1:2" x14ac:dyDescent="0.25">
      <c r="A34" s="8">
        <v>43371</v>
      </c>
      <c r="B34">
        <v>18.068100000000001</v>
      </c>
    </row>
    <row r="35" spans="1:2" x14ac:dyDescent="0.25">
      <c r="A35" s="8">
        <v>43404</v>
      </c>
      <c r="B35">
        <v>16.7776</v>
      </c>
    </row>
    <row r="36" spans="1:2" x14ac:dyDescent="0.25">
      <c r="A36" s="8">
        <v>43434</v>
      </c>
      <c r="B36">
        <v>17.162800000000001</v>
      </c>
    </row>
    <row r="37" spans="1:2" x14ac:dyDescent="0.25">
      <c r="A37" s="8">
        <v>43465</v>
      </c>
      <c r="B37">
        <v>15.6633</v>
      </c>
    </row>
    <row r="38" spans="1:2" x14ac:dyDescent="0.25">
      <c r="A38" s="8">
        <v>43496</v>
      </c>
      <c r="B38">
        <v>17.351299999999998</v>
      </c>
    </row>
    <row r="39" spans="1:2" x14ac:dyDescent="0.25">
      <c r="A39" s="8">
        <v>43524</v>
      </c>
      <c r="B39">
        <v>16.8079</v>
      </c>
    </row>
    <row r="40" spans="1:2" x14ac:dyDescent="0.25">
      <c r="A40" s="8">
        <v>43553</v>
      </c>
      <c r="B40">
        <v>17.082599999999999</v>
      </c>
    </row>
    <row r="41" spans="1:2" x14ac:dyDescent="0.25">
      <c r="A41" s="8">
        <v>43585</v>
      </c>
      <c r="B41">
        <v>17.7666</v>
      </c>
    </row>
    <row r="42" spans="1:2" x14ac:dyDescent="0.25">
      <c r="A42" s="8">
        <v>43616</v>
      </c>
      <c r="B42">
        <v>16.666</v>
      </c>
    </row>
    <row r="43" spans="1:2" x14ac:dyDescent="0.25">
      <c r="A43" s="8">
        <v>43644</v>
      </c>
      <c r="B43">
        <v>17.899999999999999</v>
      </c>
    </row>
    <row r="44" spans="1:2" x14ac:dyDescent="0.25">
      <c r="A44" s="8">
        <v>43677</v>
      </c>
      <c r="B44">
        <v>18.143799999999999</v>
      </c>
    </row>
    <row r="45" spans="1:2" x14ac:dyDescent="0.25">
      <c r="A45" s="8">
        <v>43707</v>
      </c>
      <c r="B45">
        <v>17.846900000000002</v>
      </c>
    </row>
    <row r="46" spans="1:2" x14ac:dyDescent="0.25">
      <c r="A46" s="8">
        <v>43738</v>
      </c>
      <c r="B46">
        <v>18.181100000000001</v>
      </c>
    </row>
    <row r="47" spans="1:2" x14ac:dyDescent="0.25">
      <c r="A47" s="8">
        <v>43769</v>
      </c>
      <c r="B47">
        <v>18.654199999999999</v>
      </c>
    </row>
    <row r="48" spans="1:2" x14ac:dyDescent="0.25">
      <c r="A48" s="8">
        <v>43798</v>
      </c>
      <c r="B48">
        <v>19.5899</v>
      </c>
    </row>
    <row r="49" spans="1:2" x14ac:dyDescent="0.25">
      <c r="A49" s="8">
        <v>43830</v>
      </c>
      <c r="B49">
        <v>20.176500000000001</v>
      </c>
    </row>
    <row r="50" spans="1:2" x14ac:dyDescent="0.25">
      <c r="A50" s="8">
        <v>43861</v>
      </c>
      <c r="B50">
        <v>20.501100000000001</v>
      </c>
    </row>
    <row r="51" spans="1:2" x14ac:dyDescent="0.25">
      <c r="A51" s="8">
        <v>43889</v>
      </c>
      <c r="B51">
        <v>17.086099999999998</v>
      </c>
    </row>
    <row r="52" spans="1:2" x14ac:dyDescent="0.25">
      <c r="A52" s="8">
        <v>43921</v>
      </c>
      <c r="B52">
        <v>17.125900000000001</v>
      </c>
    </row>
    <row r="53" spans="1:2" x14ac:dyDescent="0.25">
      <c r="A53" s="8">
        <v>43951</v>
      </c>
      <c r="B53">
        <v>22.621700000000001</v>
      </c>
    </row>
    <row r="54" spans="1:2" x14ac:dyDescent="0.25">
      <c r="A54" s="8">
        <v>43980</v>
      </c>
      <c r="B54">
        <v>24.667100000000001</v>
      </c>
    </row>
    <row r="55" spans="1:2" x14ac:dyDescent="0.25">
      <c r="A55" s="8">
        <v>44012</v>
      </c>
      <c r="B55">
        <v>25.0046</v>
      </c>
    </row>
    <row r="56" spans="1:2" x14ac:dyDescent="0.25">
      <c r="A56" s="8">
        <v>44043</v>
      </c>
      <c r="B56">
        <v>25.724799999999998</v>
      </c>
    </row>
    <row r="57" spans="1:2" x14ac:dyDescent="0.25">
      <c r="A57" s="8">
        <v>44074</v>
      </c>
      <c r="B57">
        <v>27.434100000000001</v>
      </c>
    </row>
    <row r="58" spans="1:2" x14ac:dyDescent="0.25">
      <c r="A58" s="8">
        <v>44104</v>
      </c>
      <c r="B58">
        <v>26.257000000000001</v>
      </c>
    </row>
    <row r="59" spans="1:2" x14ac:dyDescent="0.25">
      <c r="A59" s="8">
        <v>44134</v>
      </c>
      <c r="B59">
        <v>24.849499999999999</v>
      </c>
    </row>
    <row r="60" spans="1:2" x14ac:dyDescent="0.25">
      <c r="A60" s="8">
        <v>44165</v>
      </c>
      <c r="B60">
        <v>27.030200000000001</v>
      </c>
    </row>
    <row r="61" spans="1:2" x14ac:dyDescent="0.25">
      <c r="A61" s="8">
        <v>44196</v>
      </c>
      <c r="B61">
        <v>28.405999999999999</v>
      </c>
    </row>
    <row r="62" spans="1:2" x14ac:dyDescent="0.25">
      <c r="A62" s="8">
        <v>44225</v>
      </c>
      <c r="B62">
        <v>27.939699999999998</v>
      </c>
    </row>
    <row r="63" spans="1:2" x14ac:dyDescent="0.25">
      <c r="A63" s="8">
        <v>44253</v>
      </c>
      <c r="B63">
        <v>21.964600000000001</v>
      </c>
    </row>
    <row r="64" spans="1:2" x14ac:dyDescent="0.25">
      <c r="A64" s="8">
        <v>44286</v>
      </c>
      <c r="B64">
        <v>22.63</v>
      </c>
    </row>
    <row r="65" spans="1:2" x14ac:dyDescent="0.25">
      <c r="A65" s="8">
        <v>44316</v>
      </c>
      <c r="B65">
        <v>22.4848</v>
      </c>
    </row>
    <row r="66" spans="1:2" x14ac:dyDescent="0.25">
      <c r="A66" s="8">
        <v>44347</v>
      </c>
      <c r="B66">
        <v>22.171500000000002</v>
      </c>
    </row>
    <row r="67" spans="1:2" x14ac:dyDescent="0.25">
      <c r="A67" s="8">
        <v>44377</v>
      </c>
      <c r="B67">
        <v>22.493400000000001</v>
      </c>
    </row>
    <row r="68" spans="1:2" x14ac:dyDescent="0.25">
      <c r="A68" s="8">
        <v>44407</v>
      </c>
      <c r="B68">
        <v>22.0166</v>
      </c>
    </row>
    <row r="69" spans="1:2" x14ac:dyDescent="0.25">
      <c r="A69" s="8">
        <v>44439</v>
      </c>
      <c r="B69">
        <v>22.293600000000001</v>
      </c>
    </row>
    <row r="70" spans="1:2" x14ac:dyDescent="0.25">
      <c r="A70" s="8">
        <v>44469</v>
      </c>
      <c r="B70">
        <v>21.3703</v>
      </c>
    </row>
    <row r="71" spans="1:2" x14ac:dyDescent="0.25">
      <c r="A71" s="8">
        <v>44498</v>
      </c>
      <c r="B71">
        <v>22.588100000000001</v>
      </c>
    </row>
    <row r="72" spans="1:2" x14ac:dyDescent="0.25">
      <c r="A72" s="8">
        <v>44530</v>
      </c>
      <c r="B72">
        <v>22.3263</v>
      </c>
    </row>
    <row r="73" spans="1:2" x14ac:dyDescent="0.25">
      <c r="A73" s="8">
        <v>44561</v>
      </c>
      <c r="B73">
        <v>23.2439</v>
      </c>
    </row>
    <row r="74" spans="1:2" x14ac:dyDescent="0.25">
      <c r="A74" s="8">
        <v>44592</v>
      </c>
      <c r="B74">
        <v>22.127400000000002</v>
      </c>
    </row>
    <row r="75" spans="1:2" x14ac:dyDescent="0.25">
      <c r="A75" s="8">
        <v>44620</v>
      </c>
      <c r="B75">
        <v>19.5977</v>
      </c>
    </row>
    <row r="76" spans="1:2" x14ac:dyDescent="0.25">
      <c r="A76" s="8">
        <v>44651</v>
      </c>
      <c r="B76">
        <v>20.0472</v>
      </c>
    </row>
    <row r="77" spans="1:2" x14ac:dyDescent="0.25">
      <c r="A77" s="8">
        <v>44680</v>
      </c>
      <c r="B77">
        <v>18.2408</v>
      </c>
    </row>
    <row r="78" spans="1:2" x14ac:dyDescent="0.25">
      <c r="A78" s="8">
        <v>44712</v>
      </c>
      <c r="B78">
        <v>18.198399999999999</v>
      </c>
    </row>
    <row r="79" spans="1:2" x14ac:dyDescent="0.25">
      <c r="A79" s="8">
        <v>44742</v>
      </c>
      <c r="B79">
        <v>16.644500000000001</v>
      </c>
    </row>
    <row r="80" spans="1:2" x14ac:dyDescent="0.25">
      <c r="A80" s="8">
        <v>44771</v>
      </c>
      <c r="B80">
        <v>18.377099999999999</v>
      </c>
    </row>
    <row r="81" spans="1:2" x14ac:dyDescent="0.25">
      <c r="A81" s="8">
        <v>44804</v>
      </c>
      <c r="B81">
        <v>17.713999999999999</v>
      </c>
    </row>
    <row r="82" spans="1:2" x14ac:dyDescent="0.25">
      <c r="A82" s="8">
        <v>44834</v>
      </c>
      <c r="B82">
        <v>16.152100000000001</v>
      </c>
    </row>
    <row r="83" spans="1:2" x14ac:dyDescent="0.25">
      <c r="A83" s="8">
        <v>44865</v>
      </c>
      <c r="B83">
        <v>17.614000000000001</v>
      </c>
    </row>
    <row r="84" spans="1:2" x14ac:dyDescent="0.25">
      <c r="A84" s="8">
        <v>44895</v>
      </c>
      <c r="B84">
        <v>18.7315</v>
      </c>
    </row>
    <row r="85" spans="1:2" x14ac:dyDescent="0.25">
      <c r="A85" s="8">
        <v>44925</v>
      </c>
      <c r="B85">
        <v>17.582599999999999</v>
      </c>
    </row>
    <row r="86" spans="1:2" x14ac:dyDescent="0.25">
      <c r="A86" s="8">
        <v>44957</v>
      </c>
      <c r="B86">
        <v>18.9648</v>
      </c>
    </row>
    <row r="87" spans="1:2" x14ac:dyDescent="0.25">
      <c r="A87" s="8">
        <v>44985</v>
      </c>
      <c r="B87">
        <v>17.965299999999999</v>
      </c>
    </row>
    <row r="88" spans="1:2" x14ac:dyDescent="0.25">
      <c r="A88" s="8">
        <v>45016</v>
      </c>
      <c r="B88">
        <v>18.754300000000001</v>
      </c>
    </row>
    <row r="89" spans="1:2" x14ac:dyDescent="0.25">
      <c r="A89" s="8">
        <v>45044</v>
      </c>
      <c r="B89">
        <v>19.070599999999999</v>
      </c>
    </row>
    <row r="90" spans="1:2" x14ac:dyDescent="0.25">
      <c r="A90" s="8">
        <v>45077</v>
      </c>
      <c r="B90">
        <v>19.189599999999999</v>
      </c>
    </row>
    <row r="91" spans="1:2" x14ac:dyDescent="0.25">
      <c r="A91" s="8">
        <v>45107</v>
      </c>
      <c r="B91">
        <v>20.453600000000002</v>
      </c>
    </row>
    <row r="92" spans="1:2" x14ac:dyDescent="0.25">
      <c r="A92" s="8">
        <v>45138</v>
      </c>
      <c r="B92">
        <v>21.289100000000001</v>
      </c>
    </row>
    <row r="93" spans="1:2" x14ac:dyDescent="0.25">
      <c r="A93" s="8">
        <v>45169</v>
      </c>
      <c r="B93">
        <v>20.675899999999999</v>
      </c>
    </row>
    <row r="94" spans="1:2" x14ac:dyDescent="0.25">
      <c r="A94" s="8">
        <v>45198</v>
      </c>
      <c r="B94">
        <v>19.748200000000001</v>
      </c>
    </row>
    <row r="95" spans="1:2" x14ac:dyDescent="0.25">
      <c r="A95" s="8">
        <v>45230</v>
      </c>
      <c r="B95">
        <v>19.432400000000001</v>
      </c>
    </row>
    <row r="96" spans="1:2" x14ac:dyDescent="0.25">
      <c r="A96" s="8">
        <v>45260</v>
      </c>
      <c r="B96">
        <v>21.124199999999998</v>
      </c>
    </row>
    <row r="97" spans="1:2" x14ac:dyDescent="0.25">
      <c r="A97" s="8">
        <v>45289</v>
      </c>
      <c r="B97">
        <v>22.144600000000001</v>
      </c>
    </row>
    <row r="98" spans="1:2" x14ac:dyDescent="0.25">
      <c r="A98" s="8">
        <v>45322</v>
      </c>
      <c r="B98">
        <v>22.844100000000001</v>
      </c>
    </row>
    <row r="99" spans="1:2" x14ac:dyDescent="0.25">
      <c r="A99" s="8">
        <v>45351</v>
      </c>
      <c r="B99">
        <v>21.118400000000001</v>
      </c>
    </row>
    <row r="100" spans="1:2" x14ac:dyDescent="0.25">
      <c r="A100" s="8">
        <v>45380</v>
      </c>
      <c r="B100">
        <v>21.704699999999999</v>
      </c>
    </row>
    <row r="101" spans="1:2" x14ac:dyDescent="0.25">
      <c r="A101" s="8">
        <v>45412</v>
      </c>
      <c r="B101">
        <v>20.777000000000001</v>
      </c>
    </row>
    <row r="102" spans="1:2" x14ac:dyDescent="0.25">
      <c r="A102" s="8">
        <v>45443</v>
      </c>
      <c r="B102">
        <v>21.832699999999999</v>
      </c>
    </row>
    <row r="103" spans="1:2" x14ac:dyDescent="0.25">
      <c r="A103" s="8">
        <v>45471</v>
      </c>
      <c r="B103">
        <v>22.622499999999999</v>
      </c>
    </row>
    <row r="104" spans="1:2" x14ac:dyDescent="0.25">
      <c r="A104" s="8">
        <v>45504</v>
      </c>
      <c r="B104">
        <v>22.959499999999998</v>
      </c>
    </row>
    <row r="105" spans="1:2" x14ac:dyDescent="0.25">
      <c r="A105" s="8">
        <v>45534</v>
      </c>
      <c r="B105">
        <v>23.625399999999999</v>
      </c>
    </row>
    <row r="106" spans="1:2" x14ac:dyDescent="0.25">
      <c r="A106" s="8">
        <v>45565</v>
      </c>
      <c r="B106">
        <v>24.235600000000002</v>
      </c>
    </row>
    <row r="107" spans="1:2" x14ac:dyDescent="0.25">
      <c r="A107" s="8">
        <v>45596</v>
      </c>
      <c r="B107">
        <v>24.095300000000002</v>
      </c>
    </row>
    <row r="108" spans="1:2" x14ac:dyDescent="0.25">
      <c r="A108" s="8">
        <v>45625</v>
      </c>
      <c r="B108">
        <v>25.453199999999999</v>
      </c>
    </row>
    <row r="109" spans="1:2" x14ac:dyDescent="0.25">
      <c r="A109" s="8">
        <v>45657</v>
      </c>
      <c r="B109">
        <v>24.828299999999999</v>
      </c>
    </row>
    <row r="110" spans="1:2" x14ac:dyDescent="0.25">
      <c r="A110" s="8">
        <v>45688</v>
      </c>
      <c r="B110">
        <v>25.633400000000002</v>
      </c>
    </row>
    <row r="111" spans="1:2" x14ac:dyDescent="0.25">
      <c r="A111" s="8">
        <v>45716</v>
      </c>
      <c r="B111">
        <v>22.064699999999998</v>
      </c>
    </row>
    <row r="112" spans="1:2" x14ac:dyDescent="0.25">
      <c r="A112" s="8">
        <v>45747</v>
      </c>
      <c r="B112">
        <v>20.875599999999999</v>
      </c>
    </row>
    <row r="113" spans="1:2" x14ac:dyDescent="0.25">
      <c r="A113" s="8">
        <v>45777</v>
      </c>
      <c r="B113">
        <v>21.12</v>
      </c>
    </row>
    <row r="114" spans="1:2" x14ac:dyDescent="0.25">
      <c r="A114" s="8">
        <v>45807</v>
      </c>
      <c r="B114">
        <v>22.4968</v>
      </c>
    </row>
    <row r="115" spans="1:2" x14ac:dyDescent="0.25">
      <c r="A115" s="8">
        <v>45838</v>
      </c>
      <c r="B115">
        <v>23.523399999999999</v>
      </c>
    </row>
    <row r="116" spans="1:2" x14ac:dyDescent="0.25">
      <c r="A116" s="8">
        <v>45869</v>
      </c>
      <c r="B116">
        <v>23.907</v>
      </c>
    </row>
    <row r="117" spans="1:2" x14ac:dyDescent="0.25">
      <c r="A117" s="8">
        <v>45898</v>
      </c>
      <c r="B117">
        <v>24.244499999999999</v>
      </c>
    </row>
    <row r="118" spans="1:2" x14ac:dyDescent="0.25">
      <c r="A118" s="8">
        <v>45930</v>
      </c>
      <c r="B118">
        <v>25.1509</v>
      </c>
    </row>
    <row r="119" spans="1:2" x14ac:dyDescent="0.25">
      <c r="A119" s="8">
        <v>45961</v>
      </c>
      <c r="B119">
        <v>25.737300000000001</v>
      </c>
    </row>
    <row r="120" spans="1:2" x14ac:dyDescent="0.25">
      <c r="A120" s="8">
        <v>45989</v>
      </c>
      <c r="B120">
        <v>25.654499999999999</v>
      </c>
    </row>
    <row r="121" spans="1:2" x14ac:dyDescent="0.25">
      <c r="A121" s="8">
        <v>46022</v>
      </c>
      <c r="B121">
        <v>25.613800000000001</v>
      </c>
    </row>
    <row r="122" spans="1:2" x14ac:dyDescent="0.25">
      <c r="A122" s="8">
        <v>46052</v>
      </c>
      <c r="B122">
        <v>26.3154</v>
      </c>
    </row>
    <row r="136" spans="1:4" x14ac:dyDescent="0.25">
      <c r="A136" s="6" t="s">
        <v>308</v>
      </c>
      <c r="B136" s="6" t="s">
        <v>309</v>
      </c>
      <c r="C136" s="6" t="s">
        <v>310</v>
      </c>
      <c r="D136" s="6" t="s">
        <v>307</v>
      </c>
    </row>
    <row r="137" spans="1:4" x14ac:dyDescent="0.25">
      <c r="A137" s="8">
        <f ca="1">_xll.BDH("NDX Index","BEST_PE_RATIO","02/01/2016",TODAY(),"Per=M","cols=2;rows=121")</f>
        <v>42398</v>
      </c>
      <c r="B137">
        <v>19.5501</v>
      </c>
    </row>
    <row r="138" spans="1:4" x14ac:dyDescent="0.25">
      <c r="A138" s="8">
        <v>42429</v>
      </c>
      <c r="B138">
        <v>19.88</v>
      </c>
    </row>
    <row r="139" spans="1:4" x14ac:dyDescent="0.25">
      <c r="A139" s="8">
        <v>42460</v>
      </c>
      <c r="B139">
        <v>18.381599999999999</v>
      </c>
    </row>
    <row r="140" spans="1:4" x14ac:dyDescent="0.25">
      <c r="A140" s="8">
        <v>42489</v>
      </c>
      <c r="B140">
        <v>18.378699999999998</v>
      </c>
    </row>
    <row r="141" spans="1:4" x14ac:dyDescent="0.25">
      <c r="A141" s="8">
        <v>42521</v>
      </c>
      <c r="B141">
        <v>19.216899999999999</v>
      </c>
    </row>
    <row r="142" spans="1:4" x14ac:dyDescent="0.25">
      <c r="A142" s="8">
        <v>42551</v>
      </c>
      <c r="B142">
        <v>18.940899999999999</v>
      </c>
    </row>
    <row r="143" spans="1:4" x14ac:dyDescent="0.25">
      <c r="A143" s="8">
        <v>42580</v>
      </c>
      <c r="B143">
        <v>20.383500000000002</v>
      </c>
    </row>
    <row r="144" spans="1:4" x14ac:dyDescent="0.25">
      <c r="A144" s="8">
        <v>42613</v>
      </c>
      <c r="B144">
        <v>20.511800000000001</v>
      </c>
    </row>
    <row r="145" spans="1:2" x14ac:dyDescent="0.25">
      <c r="A145" s="8">
        <v>42643</v>
      </c>
      <c r="B145">
        <v>20.982299999999999</v>
      </c>
    </row>
    <row r="146" spans="1:2" x14ac:dyDescent="0.25">
      <c r="A146" s="8">
        <v>42674</v>
      </c>
      <c r="B146">
        <v>20.636199999999999</v>
      </c>
    </row>
    <row r="147" spans="1:2" x14ac:dyDescent="0.25">
      <c r="A147" s="8">
        <v>42704</v>
      </c>
      <c r="B147">
        <v>20.724299999999999</v>
      </c>
    </row>
    <row r="148" spans="1:2" x14ac:dyDescent="0.25">
      <c r="A148" s="8">
        <v>42734</v>
      </c>
      <c r="B148">
        <v>20.9404</v>
      </c>
    </row>
    <row r="149" spans="1:2" x14ac:dyDescent="0.25">
      <c r="A149" s="8">
        <v>42766</v>
      </c>
      <c r="B149">
        <v>22.775300000000001</v>
      </c>
    </row>
    <row r="150" spans="1:2" x14ac:dyDescent="0.25">
      <c r="A150" s="8">
        <v>42794</v>
      </c>
      <c r="B150">
        <v>19.798100000000002</v>
      </c>
    </row>
    <row r="151" spans="1:2" x14ac:dyDescent="0.25">
      <c r="A151" s="8">
        <v>42825</v>
      </c>
      <c r="B151">
        <v>19.947099999999999</v>
      </c>
    </row>
    <row r="152" spans="1:2" x14ac:dyDescent="0.25">
      <c r="A152" s="8">
        <v>42853</v>
      </c>
      <c r="B152">
        <v>20.4621</v>
      </c>
    </row>
    <row r="153" spans="1:2" x14ac:dyDescent="0.25">
      <c r="A153" s="8">
        <v>42886</v>
      </c>
      <c r="B153">
        <v>21.148900000000001</v>
      </c>
    </row>
    <row r="154" spans="1:2" x14ac:dyDescent="0.25">
      <c r="A154" s="8">
        <v>42916</v>
      </c>
      <c r="B154">
        <v>20.510999999999999</v>
      </c>
    </row>
    <row r="155" spans="1:2" x14ac:dyDescent="0.25">
      <c r="A155" s="8">
        <v>42947</v>
      </c>
      <c r="B155">
        <v>20.976600000000001</v>
      </c>
    </row>
    <row r="156" spans="1:2" x14ac:dyDescent="0.25">
      <c r="A156" s="8">
        <v>42978</v>
      </c>
      <c r="B156">
        <v>21.253900000000002</v>
      </c>
    </row>
    <row r="157" spans="1:2" x14ac:dyDescent="0.25">
      <c r="A157" s="8">
        <v>43007</v>
      </c>
      <c r="B157">
        <v>21.150300000000001</v>
      </c>
    </row>
    <row r="158" spans="1:2" x14ac:dyDescent="0.25">
      <c r="A158" s="8">
        <v>43039</v>
      </c>
      <c r="B158">
        <v>21.918099999999999</v>
      </c>
    </row>
    <row r="159" spans="1:2" x14ac:dyDescent="0.25">
      <c r="A159" s="8">
        <v>43069</v>
      </c>
      <c r="B159">
        <v>22.312899999999999</v>
      </c>
    </row>
    <row r="160" spans="1:2" x14ac:dyDescent="0.25">
      <c r="A160" s="8">
        <v>43098</v>
      </c>
      <c r="B160">
        <v>22.532699999999998</v>
      </c>
    </row>
    <row r="161" spans="1:2" x14ac:dyDescent="0.25">
      <c r="A161" s="8">
        <v>43131</v>
      </c>
      <c r="B161">
        <v>24.9788</v>
      </c>
    </row>
    <row r="162" spans="1:2" x14ac:dyDescent="0.25">
      <c r="A162" s="8">
        <v>43159</v>
      </c>
      <c r="B162">
        <v>25.7361</v>
      </c>
    </row>
    <row r="163" spans="1:2" x14ac:dyDescent="0.25">
      <c r="A163" s="8">
        <v>43189</v>
      </c>
      <c r="B163">
        <v>19.2303</v>
      </c>
    </row>
    <row r="164" spans="1:2" x14ac:dyDescent="0.25">
      <c r="A164" s="8">
        <v>43220</v>
      </c>
      <c r="B164">
        <v>19.084099999999999</v>
      </c>
    </row>
    <row r="165" spans="1:2" x14ac:dyDescent="0.25">
      <c r="A165" s="8">
        <v>43251</v>
      </c>
      <c r="B165">
        <v>20.073599999999999</v>
      </c>
    </row>
    <row r="166" spans="1:2" x14ac:dyDescent="0.25">
      <c r="A166" s="8">
        <v>43280</v>
      </c>
      <c r="B166">
        <v>20.119800000000001</v>
      </c>
    </row>
    <row r="167" spans="1:2" x14ac:dyDescent="0.25">
      <c r="A167" s="8">
        <v>43312</v>
      </c>
      <c r="B167">
        <v>20.434899999999999</v>
      </c>
    </row>
    <row r="168" spans="1:2" x14ac:dyDescent="0.25">
      <c r="A168" s="8">
        <v>43343</v>
      </c>
      <c r="B168">
        <v>21.751300000000001</v>
      </c>
    </row>
    <row r="169" spans="1:2" x14ac:dyDescent="0.25">
      <c r="A169" s="8">
        <v>43371</v>
      </c>
      <c r="B169">
        <v>21.573499999999999</v>
      </c>
    </row>
    <row r="170" spans="1:2" x14ac:dyDescent="0.25">
      <c r="A170" s="8">
        <v>43404</v>
      </c>
      <c r="B170">
        <v>19.511399999999998</v>
      </c>
    </row>
    <row r="171" spans="1:2" x14ac:dyDescent="0.25">
      <c r="A171" s="8">
        <v>43434</v>
      </c>
      <c r="B171">
        <v>19.540500000000002</v>
      </c>
    </row>
    <row r="172" spans="1:2" x14ac:dyDescent="0.25">
      <c r="A172" s="8">
        <v>43465</v>
      </c>
      <c r="B172">
        <v>17.885999999999999</v>
      </c>
    </row>
    <row r="173" spans="1:2" x14ac:dyDescent="0.25">
      <c r="A173" s="8">
        <v>43496</v>
      </c>
      <c r="B173">
        <v>20.419899999999998</v>
      </c>
    </row>
    <row r="174" spans="1:2" x14ac:dyDescent="0.25">
      <c r="A174" s="8">
        <v>43524</v>
      </c>
      <c r="B174">
        <v>21.850100000000001</v>
      </c>
    </row>
    <row r="175" spans="1:2" x14ac:dyDescent="0.25">
      <c r="A175" s="8">
        <v>43553</v>
      </c>
      <c r="B175">
        <v>20.398700000000002</v>
      </c>
    </row>
    <row r="176" spans="1:2" x14ac:dyDescent="0.25">
      <c r="A176" s="8">
        <v>43585</v>
      </c>
      <c r="B176">
        <v>21.583600000000001</v>
      </c>
    </row>
    <row r="177" spans="1:2" x14ac:dyDescent="0.25">
      <c r="A177" s="8">
        <v>43616</v>
      </c>
      <c r="B177">
        <v>19.929400000000001</v>
      </c>
    </row>
    <row r="178" spans="1:2" x14ac:dyDescent="0.25">
      <c r="A178" s="8">
        <v>43644</v>
      </c>
      <c r="B178">
        <v>21.616700000000002</v>
      </c>
    </row>
    <row r="179" spans="1:2" x14ac:dyDescent="0.25">
      <c r="A179" s="8">
        <v>43677</v>
      </c>
      <c r="B179">
        <v>21.605</v>
      </c>
    </row>
    <row r="180" spans="1:2" x14ac:dyDescent="0.25">
      <c r="A180" s="8">
        <v>43707</v>
      </c>
      <c r="B180">
        <v>21.337900000000001</v>
      </c>
    </row>
    <row r="181" spans="1:2" x14ac:dyDescent="0.25">
      <c r="A181" s="8">
        <v>43738</v>
      </c>
      <c r="B181">
        <v>21.5274</v>
      </c>
    </row>
    <row r="182" spans="1:2" x14ac:dyDescent="0.25">
      <c r="A182" s="8">
        <v>43769</v>
      </c>
      <c r="B182">
        <v>22.3203</v>
      </c>
    </row>
    <row r="183" spans="1:2" x14ac:dyDescent="0.25">
      <c r="A183" s="8">
        <v>43798</v>
      </c>
      <c r="B183">
        <v>23.506399999999999</v>
      </c>
    </row>
    <row r="184" spans="1:2" x14ac:dyDescent="0.25">
      <c r="A184" s="8">
        <v>43830</v>
      </c>
      <c r="B184">
        <v>24.421600000000002</v>
      </c>
    </row>
    <row r="185" spans="1:2" x14ac:dyDescent="0.25">
      <c r="A185" s="8">
        <v>43861</v>
      </c>
      <c r="B185">
        <v>25.7334</v>
      </c>
    </row>
    <row r="186" spans="1:2" x14ac:dyDescent="0.25">
      <c r="A186" s="8">
        <v>43889</v>
      </c>
      <c r="B186">
        <v>25.1051</v>
      </c>
    </row>
    <row r="187" spans="1:2" x14ac:dyDescent="0.25">
      <c r="A187" s="8">
        <v>43921</v>
      </c>
      <c r="B187">
        <v>21.479700000000001</v>
      </c>
    </row>
    <row r="188" spans="1:2" x14ac:dyDescent="0.25">
      <c r="A188" s="8">
        <v>43951</v>
      </c>
      <c r="B188">
        <v>26.136600000000001</v>
      </c>
    </row>
    <row r="189" spans="1:2" x14ac:dyDescent="0.25">
      <c r="A189" s="8">
        <v>43980</v>
      </c>
      <c r="B189">
        <v>28.535699999999999</v>
      </c>
    </row>
    <row r="190" spans="1:2" x14ac:dyDescent="0.25">
      <c r="A190" s="8">
        <v>44012</v>
      </c>
      <c r="B190">
        <v>30.017099999999999</v>
      </c>
    </row>
    <row r="191" spans="1:2" x14ac:dyDescent="0.25">
      <c r="A191" s="8">
        <v>44043</v>
      </c>
      <c r="B191">
        <v>30.822399999999998</v>
      </c>
    </row>
    <row r="192" spans="1:2" x14ac:dyDescent="0.25">
      <c r="A192" s="8">
        <v>44074</v>
      </c>
      <c r="B192">
        <v>34.115499999999997</v>
      </c>
    </row>
    <row r="193" spans="1:2" x14ac:dyDescent="0.25">
      <c r="A193" s="8">
        <v>44104</v>
      </c>
      <c r="B193">
        <v>32.2517</v>
      </c>
    </row>
    <row r="194" spans="1:2" x14ac:dyDescent="0.25">
      <c r="A194" s="8">
        <v>44134</v>
      </c>
      <c r="B194">
        <v>30.5731</v>
      </c>
    </row>
    <row r="195" spans="1:2" x14ac:dyDescent="0.25">
      <c r="A195" s="8">
        <v>44165</v>
      </c>
      <c r="B195">
        <v>33.681600000000003</v>
      </c>
    </row>
    <row r="196" spans="1:2" x14ac:dyDescent="0.25">
      <c r="A196" s="8">
        <v>44196</v>
      </c>
      <c r="B196">
        <v>35.030099999999997</v>
      </c>
    </row>
    <row r="197" spans="1:2" x14ac:dyDescent="0.25">
      <c r="A197" s="8">
        <v>44225</v>
      </c>
      <c r="B197">
        <v>34.649900000000002</v>
      </c>
    </row>
    <row r="198" spans="1:2" x14ac:dyDescent="0.25">
      <c r="A198" s="8">
        <v>44253</v>
      </c>
      <c r="B198">
        <v>36.269300000000001</v>
      </c>
    </row>
    <row r="199" spans="1:2" x14ac:dyDescent="0.25">
      <c r="A199" s="8">
        <v>44286</v>
      </c>
      <c r="B199">
        <v>27.8109</v>
      </c>
    </row>
    <row r="200" spans="1:2" x14ac:dyDescent="0.25">
      <c r="A200" s="8">
        <v>44316</v>
      </c>
      <c r="B200">
        <v>27.7974</v>
      </c>
    </row>
    <row r="201" spans="1:2" x14ac:dyDescent="0.25">
      <c r="A201" s="8">
        <v>44347</v>
      </c>
      <c r="B201">
        <v>27.2593</v>
      </c>
    </row>
    <row r="202" spans="1:2" x14ac:dyDescent="0.25">
      <c r="A202" s="8">
        <v>44377</v>
      </c>
      <c r="B202">
        <v>28.996099999999998</v>
      </c>
    </row>
    <row r="203" spans="1:2" x14ac:dyDescent="0.25">
      <c r="A203" s="8">
        <v>44407</v>
      </c>
      <c r="B203">
        <v>28.6647</v>
      </c>
    </row>
    <row r="204" spans="1:2" x14ac:dyDescent="0.25">
      <c r="A204" s="8">
        <v>44439</v>
      </c>
      <c r="B204">
        <v>29.715</v>
      </c>
    </row>
    <row r="205" spans="1:2" x14ac:dyDescent="0.25">
      <c r="A205" s="8">
        <v>44469</v>
      </c>
      <c r="B205">
        <v>28.186299999999999</v>
      </c>
    </row>
    <row r="206" spans="1:2" x14ac:dyDescent="0.25">
      <c r="A206" s="8">
        <v>44498</v>
      </c>
      <c r="B206">
        <v>30.5471</v>
      </c>
    </row>
    <row r="207" spans="1:2" x14ac:dyDescent="0.25">
      <c r="A207" s="8">
        <v>44530</v>
      </c>
      <c r="B207">
        <v>31.270099999999999</v>
      </c>
    </row>
    <row r="208" spans="1:2" x14ac:dyDescent="0.25">
      <c r="A208" s="8">
        <v>44561</v>
      </c>
      <c r="B208">
        <v>31.916899999999998</v>
      </c>
    </row>
    <row r="209" spans="1:2" x14ac:dyDescent="0.25">
      <c r="A209" s="8">
        <v>44592</v>
      </c>
      <c r="B209">
        <v>29.1492</v>
      </c>
    </row>
    <row r="210" spans="1:2" x14ac:dyDescent="0.25">
      <c r="A210" s="8">
        <v>44620</v>
      </c>
      <c r="B210">
        <v>28.8462</v>
      </c>
    </row>
    <row r="211" spans="1:2" x14ac:dyDescent="0.25">
      <c r="A211" s="8">
        <v>44651</v>
      </c>
      <c r="B211">
        <v>25.835000000000001</v>
      </c>
    </row>
    <row r="212" spans="1:2" x14ac:dyDescent="0.25">
      <c r="A212" s="8">
        <v>44680</v>
      </c>
      <c r="B212">
        <v>22.7531</v>
      </c>
    </row>
    <row r="213" spans="1:2" x14ac:dyDescent="0.25">
      <c r="A213" s="8">
        <v>44712</v>
      </c>
      <c r="B213">
        <v>22.6401</v>
      </c>
    </row>
    <row r="214" spans="1:2" x14ac:dyDescent="0.25">
      <c r="A214" s="8">
        <v>44742</v>
      </c>
      <c r="B214">
        <v>20.746200000000002</v>
      </c>
    </row>
    <row r="215" spans="1:2" x14ac:dyDescent="0.25">
      <c r="A215" s="8">
        <v>44771</v>
      </c>
      <c r="B215">
        <v>24.1694</v>
      </c>
    </row>
    <row r="216" spans="1:2" x14ac:dyDescent="0.25">
      <c r="A216" s="8">
        <v>44804</v>
      </c>
      <c r="B216">
        <v>23.439900000000002</v>
      </c>
    </row>
    <row r="217" spans="1:2" x14ac:dyDescent="0.25">
      <c r="A217" s="8">
        <v>44834</v>
      </c>
      <c r="B217">
        <v>21.0839</v>
      </c>
    </row>
    <row r="218" spans="1:2" x14ac:dyDescent="0.25">
      <c r="A218" s="8">
        <v>44865</v>
      </c>
      <c r="B218">
        <v>22.321000000000002</v>
      </c>
    </row>
    <row r="219" spans="1:2" x14ac:dyDescent="0.25">
      <c r="A219" s="8">
        <v>44895</v>
      </c>
      <c r="B219">
        <v>24.117899999999999</v>
      </c>
    </row>
    <row r="220" spans="1:2" x14ac:dyDescent="0.25">
      <c r="A220" s="8">
        <v>44925</v>
      </c>
      <c r="B220">
        <v>22.610499999999998</v>
      </c>
    </row>
    <row r="221" spans="1:2" x14ac:dyDescent="0.25">
      <c r="A221" s="8">
        <v>44957</v>
      </c>
      <c r="B221">
        <v>25.582000000000001</v>
      </c>
    </row>
    <row r="222" spans="1:2" x14ac:dyDescent="0.25">
      <c r="A222" s="8">
        <v>44985</v>
      </c>
      <c r="B222">
        <v>23.103100000000001</v>
      </c>
    </row>
    <row r="223" spans="1:2" x14ac:dyDescent="0.25">
      <c r="A223" s="8">
        <v>45016</v>
      </c>
      <c r="B223">
        <v>25.4191</v>
      </c>
    </row>
    <row r="224" spans="1:2" x14ac:dyDescent="0.25">
      <c r="A224" s="8">
        <v>45044</v>
      </c>
      <c r="B224">
        <v>25.571899999999999</v>
      </c>
    </row>
    <row r="225" spans="1:2" x14ac:dyDescent="0.25">
      <c r="A225" s="8">
        <v>45077</v>
      </c>
      <c r="B225">
        <v>27.564800000000002</v>
      </c>
    </row>
    <row r="226" spans="1:2" x14ac:dyDescent="0.25">
      <c r="A226" s="8">
        <v>45107</v>
      </c>
      <c r="B226">
        <v>29.130700000000001</v>
      </c>
    </row>
    <row r="227" spans="1:2" x14ac:dyDescent="0.25">
      <c r="A227" s="8">
        <v>45138</v>
      </c>
      <c r="B227">
        <v>28.867999999999999</v>
      </c>
    </row>
    <row r="228" spans="1:2" x14ac:dyDescent="0.25">
      <c r="A228" s="8">
        <v>45169</v>
      </c>
      <c r="B228">
        <v>28.163499999999999</v>
      </c>
    </row>
    <row r="229" spans="1:2" x14ac:dyDescent="0.25">
      <c r="A229" s="8">
        <v>45198</v>
      </c>
      <c r="B229">
        <v>26.6981</v>
      </c>
    </row>
    <row r="230" spans="1:2" x14ac:dyDescent="0.25">
      <c r="A230" s="8">
        <v>45230</v>
      </c>
      <c r="B230">
        <v>25.9452</v>
      </c>
    </row>
    <row r="231" spans="1:2" x14ac:dyDescent="0.25">
      <c r="A231" s="8">
        <v>45260</v>
      </c>
      <c r="B231">
        <v>28.6267</v>
      </c>
    </row>
    <row r="232" spans="1:2" x14ac:dyDescent="0.25">
      <c r="A232" s="8">
        <v>45289</v>
      </c>
      <c r="B232">
        <v>30.4453</v>
      </c>
    </row>
    <row r="233" spans="1:2" x14ac:dyDescent="0.25">
      <c r="A233" s="8">
        <v>45322</v>
      </c>
      <c r="B233">
        <v>31.2654</v>
      </c>
    </row>
    <row r="234" spans="1:2" x14ac:dyDescent="0.25">
      <c r="A234" s="8">
        <v>45351</v>
      </c>
      <c r="B234">
        <v>33.571399999999997</v>
      </c>
    </row>
    <row r="235" spans="1:2" x14ac:dyDescent="0.25">
      <c r="A235" s="8">
        <v>45380</v>
      </c>
      <c r="B235">
        <v>26.6767</v>
      </c>
    </row>
    <row r="236" spans="1:2" x14ac:dyDescent="0.25">
      <c r="A236" s="8">
        <v>45412</v>
      </c>
      <c r="B236">
        <v>25.8005</v>
      </c>
    </row>
    <row r="237" spans="1:2" x14ac:dyDescent="0.25">
      <c r="A237" s="8">
        <v>45443</v>
      </c>
      <c r="B237">
        <v>27.234300000000001</v>
      </c>
    </row>
    <row r="238" spans="1:2" x14ac:dyDescent="0.25">
      <c r="A238" s="8">
        <v>45471</v>
      </c>
      <c r="B238">
        <v>29.017299999999999</v>
      </c>
    </row>
    <row r="239" spans="1:2" x14ac:dyDescent="0.25">
      <c r="A239" s="8">
        <v>45504</v>
      </c>
      <c r="B239">
        <v>28.97</v>
      </c>
    </row>
    <row r="240" spans="1:2" x14ac:dyDescent="0.25">
      <c r="A240" s="8">
        <v>45534</v>
      </c>
      <c r="B240">
        <v>30.085999999999999</v>
      </c>
    </row>
    <row r="241" spans="1:2" x14ac:dyDescent="0.25">
      <c r="A241" s="8">
        <v>45565</v>
      </c>
      <c r="B241">
        <v>31.041399999999999</v>
      </c>
    </row>
    <row r="242" spans="1:2" x14ac:dyDescent="0.25">
      <c r="A242" s="8">
        <v>45596</v>
      </c>
      <c r="B242">
        <v>30.674900000000001</v>
      </c>
    </row>
    <row r="243" spans="1:2" x14ac:dyDescent="0.25">
      <c r="A243" s="8">
        <v>45625</v>
      </c>
      <c r="B243">
        <v>32.873600000000003</v>
      </c>
    </row>
    <row r="244" spans="1:2" x14ac:dyDescent="0.25">
      <c r="A244" s="8">
        <v>45657</v>
      </c>
      <c r="B244">
        <v>33.088900000000002</v>
      </c>
    </row>
    <row r="245" spans="1:2" x14ac:dyDescent="0.25">
      <c r="A245" s="8">
        <v>45688</v>
      </c>
      <c r="B245">
        <v>33.866900000000001</v>
      </c>
    </row>
    <row r="246" spans="1:2" x14ac:dyDescent="0.25">
      <c r="A246" s="8">
        <v>45716</v>
      </c>
      <c r="B246">
        <v>33.760800000000003</v>
      </c>
    </row>
    <row r="247" spans="1:2" x14ac:dyDescent="0.25">
      <c r="A247" s="8">
        <v>45747</v>
      </c>
      <c r="B247">
        <v>24.202000000000002</v>
      </c>
    </row>
    <row r="248" spans="1:2" x14ac:dyDescent="0.25">
      <c r="A248" s="8">
        <v>45777</v>
      </c>
      <c r="B248">
        <v>24.946300000000001</v>
      </c>
    </row>
    <row r="249" spans="1:2" x14ac:dyDescent="0.25">
      <c r="A249" s="8">
        <v>45807</v>
      </c>
      <c r="B249">
        <v>27.535299999999999</v>
      </c>
    </row>
    <row r="250" spans="1:2" x14ac:dyDescent="0.25">
      <c r="A250" s="8">
        <v>45838</v>
      </c>
      <c r="B250">
        <v>29.159500000000001</v>
      </c>
    </row>
    <row r="251" spans="1:2" x14ac:dyDescent="0.25">
      <c r="A251" s="8">
        <v>45869</v>
      </c>
      <c r="B251">
        <v>29.619900000000001</v>
      </c>
    </row>
    <row r="252" spans="1:2" x14ac:dyDescent="0.25">
      <c r="A252" s="8">
        <v>45898</v>
      </c>
      <c r="B252">
        <v>28.901700000000002</v>
      </c>
    </row>
    <row r="253" spans="1:2" x14ac:dyDescent="0.25">
      <c r="A253" s="8">
        <v>45930</v>
      </c>
      <c r="B253">
        <v>30.5381</v>
      </c>
    </row>
    <row r="254" spans="1:2" x14ac:dyDescent="0.25">
      <c r="A254" s="8">
        <v>45961</v>
      </c>
      <c r="B254">
        <v>32.007899999999999</v>
      </c>
    </row>
    <row r="255" spans="1:2" x14ac:dyDescent="0.25">
      <c r="A255" s="8">
        <v>45989</v>
      </c>
      <c r="B255">
        <v>31.283799999999999</v>
      </c>
    </row>
    <row r="256" spans="1:2" x14ac:dyDescent="0.25">
      <c r="A256" s="8">
        <v>46022</v>
      </c>
      <c r="B256">
        <v>30.826699999999999</v>
      </c>
    </row>
    <row r="257" spans="1:4" x14ac:dyDescent="0.25">
      <c r="A257" s="8">
        <v>46052</v>
      </c>
      <c r="B257">
        <v>31.3596</v>
      </c>
    </row>
    <row r="271" spans="1:4" x14ac:dyDescent="0.25">
      <c r="A271" s="6" t="s">
        <v>311</v>
      </c>
      <c r="B271" s="6" t="s">
        <v>312</v>
      </c>
      <c r="C271" s="6" t="s">
        <v>313</v>
      </c>
      <c r="D271" s="6" t="s">
        <v>307</v>
      </c>
    </row>
    <row r="272" spans="1:4" x14ac:dyDescent="0.25">
      <c r="A272" s="8">
        <f ca="1">_xll.BDH("SXXP Index","BEST_PE_RATIO","02/01/2016",TODAY(),"Per=M","cols=2;rows=121")</f>
        <v>42398</v>
      </c>
      <c r="B272">
        <v>15.3752</v>
      </c>
    </row>
    <row r="273" spans="1:2" x14ac:dyDescent="0.25">
      <c r="A273" s="8">
        <v>42429</v>
      </c>
      <c r="B273">
        <v>14.7957</v>
      </c>
    </row>
    <row r="274" spans="1:2" x14ac:dyDescent="0.25">
      <c r="A274" s="8">
        <v>42460</v>
      </c>
      <c r="B274">
        <v>15.342000000000001</v>
      </c>
    </row>
    <row r="275" spans="1:2" x14ac:dyDescent="0.25">
      <c r="A275" s="8">
        <v>42489</v>
      </c>
      <c r="B275">
        <v>15.6275</v>
      </c>
    </row>
    <row r="276" spans="1:2" x14ac:dyDescent="0.25">
      <c r="A276" s="8">
        <v>42521</v>
      </c>
      <c r="B276">
        <v>15.9375</v>
      </c>
    </row>
    <row r="277" spans="1:2" x14ac:dyDescent="0.25">
      <c r="A277" s="8">
        <v>42551</v>
      </c>
      <c r="B277">
        <v>15.3908</v>
      </c>
    </row>
    <row r="278" spans="1:2" x14ac:dyDescent="0.25">
      <c r="A278" s="8">
        <v>42580</v>
      </c>
      <c r="B278">
        <v>16.128799999999998</v>
      </c>
    </row>
    <row r="279" spans="1:2" x14ac:dyDescent="0.25">
      <c r="A279" s="8">
        <v>42613</v>
      </c>
      <c r="B279">
        <v>16.270399999999999</v>
      </c>
    </row>
    <row r="280" spans="1:2" x14ac:dyDescent="0.25">
      <c r="A280" s="8">
        <v>42643</v>
      </c>
      <c r="B280">
        <v>16.209099999999999</v>
      </c>
    </row>
    <row r="281" spans="1:2" x14ac:dyDescent="0.25">
      <c r="A281" s="8">
        <v>42674</v>
      </c>
      <c r="B281">
        <v>16.008299999999998</v>
      </c>
    </row>
    <row r="282" spans="1:2" x14ac:dyDescent="0.25">
      <c r="A282" s="8">
        <v>42704</v>
      </c>
      <c r="B282">
        <v>15.837899999999999</v>
      </c>
    </row>
    <row r="283" spans="1:2" x14ac:dyDescent="0.25">
      <c r="A283" s="8">
        <v>42734</v>
      </c>
      <c r="B283">
        <v>16.822700000000001</v>
      </c>
    </row>
    <row r="284" spans="1:2" x14ac:dyDescent="0.25">
      <c r="A284" s="8">
        <v>42766</v>
      </c>
      <c r="B284">
        <v>16.834499999999998</v>
      </c>
    </row>
    <row r="285" spans="1:2" x14ac:dyDescent="0.25">
      <c r="A285" s="8">
        <v>42794</v>
      </c>
      <c r="B285">
        <v>14.9261</v>
      </c>
    </row>
    <row r="286" spans="1:2" x14ac:dyDescent="0.25">
      <c r="A286" s="8">
        <v>42825</v>
      </c>
      <c r="B286">
        <v>15.4185</v>
      </c>
    </row>
    <row r="287" spans="1:2" x14ac:dyDescent="0.25">
      <c r="A287" s="8">
        <v>42853</v>
      </c>
      <c r="B287">
        <v>15.642799999999999</v>
      </c>
    </row>
    <row r="288" spans="1:2" x14ac:dyDescent="0.25">
      <c r="A288" s="8">
        <v>42886</v>
      </c>
      <c r="B288">
        <v>15.8248</v>
      </c>
    </row>
    <row r="289" spans="1:2" x14ac:dyDescent="0.25">
      <c r="A289" s="8">
        <v>42916</v>
      </c>
      <c r="B289">
        <v>15.535</v>
      </c>
    </row>
    <row r="290" spans="1:2" x14ac:dyDescent="0.25">
      <c r="A290" s="8">
        <v>42947</v>
      </c>
      <c r="B290">
        <v>15.6889</v>
      </c>
    </row>
    <row r="291" spans="1:2" x14ac:dyDescent="0.25">
      <c r="A291" s="8">
        <v>42978</v>
      </c>
      <c r="B291">
        <v>15.5276</v>
      </c>
    </row>
    <row r="292" spans="1:2" x14ac:dyDescent="0.25">
      <c r="A292" s="8">
        <v>43007</v>
      </c>
      <c r="B292">
        <v>16.0656</v>
      </c>
    </row>
    <row r="293" spans="1:2" x14ac:dyDescent="0.25">
      <c r="A293" s="8">
        <v>43039</v>
      </c>
      <c r="B293">
        <v>16.402999999999999</v>
      </c>
    </row>
    <row r="294" spans="1:2" x14ac:dyDescent="0.25">
      <c r="A294" s="8">
        <v>43069</v>
      </c>
      <c r="B294">
        <v>16.1844</v>
      </c>
    </row>
    <row r="295" spans="1:2" x14ac:dyDescent="0.25">
      <c r="A295" s="8">
        <v>43098</v>
      </c>
      <c r="B295">
        <v>16.3262</v>
      </c>
    </row>
    <row r="296" spans="1:2" x14ac:dyDescent="0.25">
      <c r="A296" s="8">
        <v>43131</v>
      </c>
      <c r="B296">
        <v>16.674399999999999</v>
      </c>
    </row>
    <row r="297" spans="1:2" x14ac:dyDescent="0.25">
      <c r="A297" s="8">
        <v>43159</v>
      </c>
      <c r="B297">
        <v>14.439299999999999</v>
      </c>
    </row>
    <row r="298" spans="1:2" x14ac:dyDescent="0.25">
      <c r="A298" s="8">
        <v>43189</v>
      </c>
      <c r="B298">
        <v>14.449</v>
      </c>
    </row>
    <row r="299" spans="1:2" x14ac:dyDescent="0.25">
      <c r="A299" s="8">
        <v>43220</v>
      </c>
      <c r="B299">
        <v>14.9924</v>
      </c>
    </row>
    <row r="300" spans="1:2" x14ac:dyDescent="0.25">
      <c r="A300" s="8">
        <v>43251</v>
      </c>
      <c r="B300">
        <v>14.7143</v>
      </c>
    </row>
    <row r="301" spans="1:2" x14ac:dyDescent="0.25">
      <c r="A301" s="8">
        <v>43280</v>
      </c>
      <c r="B301">
        <v>14.558400000000001</v>
      </c>
    </row>
    <row r="302" spans="1:2" x14ac:dyDescent="0.25">
      <c r="A302" s="8">
        <v>43312</v>
      </c>
      <c r="B302">
        <v>15.104799999999999</v>
      </c>
    </row>
    <row r="303" spans="1:2" x14ac:dyDescent="0.25">
      <c r="A303" s="8">
        <v>43343</v>
      </c>
      <c r="B303">
        <v>14.7395</v>
      </c>
    </row>
    <row r="304" spans="1:2" x14ac:dyDescent="0.25">
      <c r="A304" s="8">
        <v>43371</v>
      </c>
      <c r="B304">
        <v>14.844200000000001</v>
      </c>
    </row>
    <row r="305" spans="1:2" x14ac:dyDescent="0.25">
      <c r="A305" s="8">
        <v>43404</v>
      </c>
      <c r="B305">
        <v>13.9297</v>
      </c>
    </row>
    <row r="306" spans="1:2" x14ac:dyDescent="0.25">
      <c r="A306" s="8">
        <v>43434</v>
      </c>
      <c r="B306">
        <v>13.838800000000001</v>
      </c>
    </row>
    <row r="307" spans="1:2" x14ac:dyDescent="0.25">
      <c r="A307" s="8">
        <v>43465</v>
      </c>
      <c r="B307">
        <v>13.1648</v>
      </c>
    </row>
    <row r="308" spans="1:2" x14ac:dyDescent="0.25">
      <c r="A308" s="8">
        <v>43496</v>
      </c>
      <c r="B308">
        <v>14.3375</v>
      </c>
    </row>
    <row r="309" spans="1:2" x14ac:dyDescent="0.25">
      <c r="A309" s="8">
        <v>43524</v>
      </c>
      <c r="B309">
        <v>13.8369</v>
      </c>
    </row>
    <row r="310" spans="1:2" x14ac:dyDescent="0.25">
      <c r="A310" s="8">
        <v>43553</v>
      </c>
      <c r="B310">
        <v>14.040100000000001</v>
      </c>
    </row>
    <row r="311" spans="1:2" x14ac:dyDescent="0.25">
      <c r="A311" s="8">
        <v>43585</v>
      </c>
      <c r="B311">
        <v>14.5334</v>
      </c>
    </row>
    <row r="312" spans="1:2" x14ac:dyDescent="0.25">
      <c r="A312" s="8">
        <v>43616</v>
      </c>
      <c r="B312">
        <v>13.738300000000001</v>
      </c>
    </row>
    <row r="313" spans="1:2" x14ac:dyDescent="0.25">
      <c r="A313" s="8">
        <v>43644</v>
      </c>
      <c r="B313">
        <v>14.525399999999999</v>
      </c>
    </row>
    <row r="314" spans="1:2" x14ac:dyDescent="0.25">
      <c r="A314" s="8">
        <v>43677</v>
      </c>
      <c r="B314">
        <v>14.6983</v>
      </c>
    </row>
    <row r="315" spans="1:2" x14ac:dyDescent="0.25">
      <c r="A315" s="8">
        <v>43707</v>
      </c>
      <c r="B315">
        <v>14.5418</v>
      </c>
    </row>
    <row r="316" spans="1:2" x14ac:dyDescent="0.25">
      <c r="A316" s="8">
        <v>43738</v>
      </c>
      <c r="B316">
        <v>15.0344</v>
      </c>
    </row>
    <row r="317" spans="1:2" x14ac:dyDescent="0.25">
      <c r="A317" s="8">
        <v>43769</v>
      </c>
      <c r="B317">
        <v>15.307700000000001</v>
      </c>
    </row>
    <row r="318" spans="1:2" x14ac:dyDescent="0.25">
      <c r="A318" s="8">
        <v>43798</v>
      </c>
      <c r="B318">
        <v>15.818899999999999</v>
      </c>
    </row>
    <row r="319" spans="1:2" x14ac:dyDescent="0.25">
      <c r="A319" s="8">
        <v>43830</v>
      </c>
      <c r="B319">
        <v>16.127300000000002</v>
      </c>
    </row>
    <row r="320" spans="1:2" x14ac:dyDescent="0.25">
      <c r="A320" s="8">
        <v>43861</v>
      </c>
      <c r="B320">
        <v>16.190000000000001</v>
      </c>
    </row>
    <row r="321" spans="1:2" x14ac:dyDescent="0.25">
      <c r="A321" s="8">
        <v>43889</v>
      </c>
      <c r="B321">
        <v>13.885400000000001</v>
      </c>
    </row>
    <row r="322" spans="1:2" x14ac:dyDescent="0.25">
      <c r="A322" s="8">
        <v>43921</v>
      </c>
      <c r="B322">
        <v>14.2263</v>
      </c>
    </row>
    <row r="323" spans="1:2" x14ac:dyDescent="0.25">
      <c r="A323" s="8">
        <v>43951</v>
      </c>
      <c r="B323">
        <v>18.138300000000001</v>
      </c>
    </row>
    <row r="324" spans="1:2" x14ac:dyDescent="0.25">
      <c r="A324" s="8">
        <v>43980</v>
      </c>
      <c r="B324">
        <v>19.948899999999998</v>
      </c>
    </row>
    <row r="325" spans="1:2" x14ac:dyDescent="0.25">
      <c r="A325" s="8">
        <v>44012</v>
      </c>
      <c r="B325">
        <v>21.127400000000002</v>
      </c>
    </row>
    <row r="326" spans="1:2" x14ac:dyDescent="0.25">
      <c r="A326" s="8">
        <v>44043</v>
      </c>
      <c r="B326">
        <v>21.758299999999998</v>
      </c>
    </row>
    <row r="327" spans="1:2" x14ac:dyDescent="0.25">
      <c r="A327" s="8">
        <v>44074</v>
      </c>
      <c r="B327">
        <v>22.713899999999999</v>
      </c>
    </row>
    <row r="328" spans="1:2" x14ac:dyDescent="0.25">
      <c r="A328" s="8">
        <v>44104</v>
      </c>
      <c r="B328">
        <v>22.357299999999999</v>
      </c>
    </row>
    <row r="329" spans="1:2" x14ac:dyDescent="0.25">
      <c r="A329" s="8">
        <v>44134</v>
      </c>
      <c r="B329">
        <v>20.584</v>
      </c>
    </row>
    <row r="330" spans="1:2" x14ac:dyDescent="0.25">
      <c r="A330" s="8">
        <v>44165</v>
      </c>
      <c r="B330">
        <v>23.251200000000001</v>
      </c>
    </row>
    <row r="331" spans="1:2" x14ac:dyDescent="0.25">
      <c r="A331" s="8">
        <v>44196</v>
      </c>
      <c r="B331">
        <v>23.802700000000002</v>
      </c>
    </row>
    <row r="332" spans="1:2" x14ac:dyDescent="0.25">
      <c r="A332" s="8">
        <v>44225</v>
      </c>
      <c r="B332">
        <v>23.514199999999999</v>
      </c>
    </row>
    <row r="333" spans="1:2" x14ac:dyDescent="0.25">
      <c r="A333" s="8">
        <v>44253</v>
      </c>
      <c r="B333">
        <v>17.257999999999999</v>
      </c>
    </row>
    <row r="334" spans="1:2" x14ac:dyDescent="0.25">
      <c r="A334" s="8">
        <v>44286</v>
      </c>
      <c r="B334">
        <v>18.087</v>
      </c>
    </row>
    <row r="335" spans="1:2" x14ac:dyDescent="0.25">
      <c r="A335" s="8">
        <v>44316</v>
      </c>
      <c r="B335">
        <v>17.7895</v>
      </c>
    </row>
    <row r="336" spans="1:2" x14ac:dyDescent="0.25">
      <c r="A336" s="8">
        <v>44347</v>
      </c>
      <c r="B336">
        <v>17.779599999999999</v>
      </c>
    </row>
    <row r="337" spans="1:2" x14ac:dyDescent="0.25">
      <c r="A337" s="8">
        <v>44377</v>
      </c>
      <c r="B337">
        <v>17.6236</v>
      </c>
    </row>
    <row r="338" spans="1:2" x14ac:dyDescent="0.25">
      <c r="A338" s="8">
        <v>44407</v>
      </c>
      <c r="B338">
        <v>17.289200000000001</v>
      </c>
    </row>
    <row r="339" spans="1:2" x14ac:dyDescent="0.25">
      <c r="A339" s="8">
        <v>44439</v>
      </c>
      <c r="B339">
        <v>16.9312</v>
      </c>
    </row>
    <row r="340" spans="1:2" x14ac:dyDescent="0.25">
      <c r="A340" s="8">
        <v>44469</v>
      </c>
      <c r="B340">
        <v>16.3154</v>
      </c>
    </row>
    <row r="341" spans="1:2" x14ac:dyDescent="0.25">
      <c r="A341" s="8">
        <v>44498</v>
      </c>
      <c r="B341">
        <v>16.7057</v>
      </c>
    </row>
    <row r="342" spans="1:2" x14ac:dyDescent="0.25">
      <c r="A342" s="8">
        <v>44530</v>
      </c>
      <c r="B342">
        <v>15.886200000000001</v>
      </c>
    </row>
    <row r="343" spans="1:2" x14ac:dyDescent="0.25">
      <c r="A343" s="8">
        <v>44561</v>
      </c>
      <c r="B343">
        <v>16.698</v>
      </c>
    </row>
    <row r="344" spans="1:2" x14ac:dyDescent="0.25">
      <c r="A344" s="8">
        <v>44592</v>
      </c>
      <c r="B344">
        <v>15.817500000000001</v>
      </c>
    </row>
    <row r="345" spans="1:2" x14ac:dyDescent="0.25">
      <c r="A345" s="8">
        <v>44620</v>
      </c>
      <c r="B345">
        <v>14.4436</v>
      </c>
    </row>
    <row r="346" spans="1:2" x14ac:dyDescent="0.25">
      <c r="A346" s="8">
        <v>44651</v>
      </c>
      <c r="B346">
        <v>14.308400000000001</v>
      </c>
    </row>
    <row r="347" spans="1:2" x14ac:dyDescent="0.25">
      <c r="A347" s="8">
        <v>44680</v>
      </c>
      <c r="B347">
        <v>13.6927</v>
      </c>
    </row>
    <row r="348" spans="1:2" x14ac:dyDescent="0.25">
      <c r="A348" s="8">
        <v>44712</v>
      </c>
      <c r="B348">
        <v>13.2722</v>
      </c>
    </row>
    <row r="349" spans="1:2" x14ac:dyDescent="0.25">
      <c r="A349" s="8">
        <v>44742</v>
      </c>
      <c r="B349">
        <v>12.023099999999999</v>
      </c>
    </row>
    <row r="350" spans="1:2" x14ac:dyDescent="0.25">
      <c r="A350" s="8">
        <v>44771</v>
      </c>
      <c r="B350">
        <v>12.6968</v>
      </c>
    </row>
    <row r="351" spans="1:2" x14ac:dyDescent="0.25">
      <c r="A351" s="8">
        <v>44804</v>
      </c>
      <c r="B351">
        <v>11.7872</v>
      </c>
    </row>
    <row r="352" spans="1:2" x14ac:dyDescent="0.25">
      <c r="A352" s="8">
        <v>44834</v>
      </c>
      <c r="B352">
        <v>10.873100000000001</v>
      </c>
    </row>
    <row r="353" spans="1:2" x14ac:dyDescent="0.25">
      <c r="A353" s="8">
        <v>44865</v>
      </c>
      <c r="B353">
        <v>11.537000000000001</v>
      </c>
    </row>
    <row r="354" spans="1:2" x14ac:dyDescent="0.25">
      <c r="A354" s="8">
        <v>44895</v>
      </c>
      <c r="B354">
        <v>12.3986</v>
      </c>
    </row>
    <row r="355" spans="1:2" x14ac:dyDescent="0.25">
      <c r="A355" s="8">
        <v>44925</v>
      </c>
      <c r="B355">
        <v>12.168799999999999</v>
      </c>
    </row>
    <row r="356" spans="1:2" x14ac:dyDescent="0.25">
      <c r="A356" s="8">
        <v>44957</v>
      </c>
      <c r="B356">
        <v>13.0807</v>
      </c>
    </row>
    <row r="357" spans="1:2" x14ac:dyDescent="0.25">
      <c r="A357" s="8">
        <v>44985</v>
      </c>
      <c r="B357">
        <v>13.164300000000001</v>
      </c>
    </row>
    <row r="358" spans="1:2" x14ac:dyDescent="0.25">
      <c r="A358" s="8">
        <v>45016</v>
      </c>
      <c r="B358">
        <v>13.073</v>
      </c>
    </row>
    <row r="359" spans="1:2" x14ac:dyDescent="0.25">
      <c r="A359" s="8">
        <v>45044</v>
      </c>
      <c r="B359">
        <v>13.3561</v>
      </c>
    </row>
    <row r="360" spans="1:2" x14ac:dyDescent="0.25">
      <c r="A360" s="8">
        <v>45077</v>
      </c>
      <c r="B360">
        <v>12.6515</v>
      </c>
    </row>
    <row r="361" spans="1:2" x14ac:dyDescent="0.25">
      <c r="A361" s="8">
        <v>45107</v>
      </c>
      <c r="B361">
        <v>13.021800000000001</v>
      </c>
    </row>
    <row r="362" spans="1:2" x14ac:dyDescent="0.25">
      <c r="A362" s="8">
        <v>45138</v>
      </c>
      <c r="B362">
        <v>13.3489</v>
      </c>
    </row>
    <row r="363" spans="1:2" x14ac:dyDescent="0.25">
      <c r="A363" s="8">
        <v>45169</v>
      </c>
      <c r="B363">
        <v>12.8881</v>
      </c>
    </row>
    <row r="364" spans="1:2" x14ac:dyDescent="0.25">
      <c r="A364" s="8">
        <v>45198</v>
      </c>
      <c r="B364">
        <v>12.6091</v>
      </c>
    </row>
    <row r="365" spans="1:2" x14ac:dyDescent="0.25">
      <c r="A365" s="8">
        <v>45230</v>
      </c>
      <c r="B365">
        <v>12.151899999999999</v>
      </c>
    </row>
    <row r="366" spans="1:2" x14ac:dyDescent="0.25">
      <c r="A366" s="8">
        <v>45260</v>
      </c>
      <c r="B366">
        <v>13.099</v>
      </c>
    </row>
    <row r="367" spans="1:2" x14ac:dyDescent="0.25">
      <c r="A367" s="8">
        <v>45289</v>
      </c>
      <c r="B367">
        <v>13.644299999999999</v>
      </c>
    </row>
    <row r="368" spans="1:2" x14ac:dyDescent="0.25">
      <c r="A368" s="8">
        <v>45322</v>
      </c>
      <c r="B368">
        <v>13.9414</v>
      </c>
    </row>
    <row r="369" spans="1:2" x14ac:dyDescent="0.25">
      <c r="A369" s="8">
        <v>45351</v>
      </c>
      <c r="B369">
        <v>13.7699</v>
      </c>
    </row>
    <row r="370" spans="1:2" x14ac:dyDescent="0.25">
      <c r="A370" s="8">
        <v>45380</v>
      </c>
      <c r="B370">
        <v>14.3439</v>
      </c>
    </row>
    <row r="371" spans="1:2" x14ac:dyDescent="0.25">
      <c r="A371" s="8">
        <v>45412</v>
      </c>
      <c r="B371">
        <v>14.1043</v>
      </c>
    </row>
    <row r="372" spans="1:2" x14ac:dyDescent="0.25">
      <c r="A372" s="8">
        <v>45443</v>
      </c>
      <c r="B372">
        <v>14.382999999999999</v>
      </c>
    </row>
    <row r="373" spans="1:2" x14ac:dyDescent="0.25">
      <c r="A373" s="8">
        <v>45471</v>
      </c>
      <c r="B373">
        <v>14.142099999999999</v>
      </c>
    </row>
    <row r="374" spans="1:2" x14ac:dyDescent="0.25">
      <c r="A374" s="8">
        <v>45504</v>
      </c>
      <c r="B374">
        <v>14.451499999999999</v>
      </c>
    </row>
    <row r="375" spans="1:2" x14ac:dyDescent="0.25">
      <c r="A375" s="8">
        <v>45534</v>
      </c>
      <c r="B375">
        <v>14.704599999999999</v>
      </c>
    </row>
    <row r="376" spans="1:2" x14ac:dyDescent="0.25">
      <c r="A376" s="8">
        <v>45565</v>
      </c>
      <c r="B376">
        <v>14.7438</v>
      </c>
    </row>
    <row r="377" spans="1:2" x14ac:dyDescent="0.25">
      <c r="A377" s="8">
        <v>45596</v>
      </c>
      <c r="B377">
        <v>14.338200000000001</v>
      </c>
    </row>
    <row r="378" spans="1:2" x14ac:dyDescent="0.25">
      <c r="A378" s="8">
        <v>45625</v>
      </c>
      <c r="B378">
        <v>14.418100000000001</v>
      </c>
    </row>
    <row r="379" spans="1:2" x14ac:dyDescent="0.25">
      <c r="A379" s="8">
        <v>45657</v>
      </c>
      <c r="B379">
        <v>14.2525</v>
      </c>
    </row>
    <row r="380" spans="1:2" x14ac:dyDescent="0.25">
      <c r="A380" s="8">
        <v>45688</v>
      </c>
      <c r="B380">
        <v>15.166399999999999</v>
      </c>
    </row>
    <row r="381" spans="1:2" x14ac:dyDescent="0.25">
      <c r="A381" s="8">
        <v>45716</v>
      </c>
      <c r="B381">
        <v>14.6883</v>
      </c>
    </row>
    <row r="382" spans="1:2" x14ac:dyDescent="0.25">
      <c r="A382" s="8">
        <v>45747</v>
      </c>
      <c r="B382">
        <v>14.2704</v>
      </c>
    </row>
    <row r="383" spans="1:2" x14ac:dyDescent="0.25">
      <c r="A383" s="8">
        <v>45777</v>
      </c>
      <c r="B383">
        <v>14.6454</v>
      </c>
    </row>
    <row r="384" spans="1:2" x14ac:dyDescent="0.25">
      <c r="A384" s="8">
        <v>45807</v>
      </c>
      <c r="B384">
        <v>15.316700000000001</v>
      </c>
    </row>
    <row r="385" spans="1:2" x14ac:dyDescent="0.25">
      <c r="A385" s="8">
        <v>45838</v>
      </c>
      <c r="B385">
        <v>15.2424</v>
      </c>
    </row>
    <row r="386" spans="1:2" x14ac:dyDescent="0.25">
      <c r="A386" s="8">
        <v>45869</v>
      </c>
      <c r="B386">
        <v>15.535600000000001</v>
      </c>
    </row>
    <row r="387" spans="1:2" x14ac:dyDescent="0.25">
      <c r="A387" s="8">
        <v>45898</v>
      </c>
      <c r="B387">
        <v>15.7105</v>
      </c>
    </row>
    <row r="388" spans="1:2" x14ac:dyDescent="0.25">
      <c r="A388" s="8">
        <v>45930</v>
      </c>
      <c r="B388">
        <v>16.002600000000001</v>
      </c>
    </row>
    <row r="389" spans="1:2" x14ac:dyDescent="0.25">
      <c r="A389" s="8">
        <v>45961</v>
      </c>
      <c r="B389">
        <v>16.194600000000001</v>
      </c>
    </row>
    <row r="390" spans="1:2" x14ac:dyDescent="0.25">
      <c r="A390" s="8">
        <v>45989</v>
      </c>
      <c r="B390">
        <v>16.296800000000001</v>
      </c>
    </row>
    <row r="391" spans="1:2" x14ac:dyDescent="0.25">
      <c r="A391" s="8">
        <v>46022</v>
      </c>
      <c r="B391">
        <v>16.718800000000002</v>
      </c>
    </row>
    <row r="392" spans="1:2" x14ac:dyDescent="0.25">
      <c r="A392" s="8">
        <v>46052</v>
      </c>
      <c r="B392">
        <v>17.297999999999998</v>
      </c>
    </row>
    <row r="406" spans="1:4" x14ac:dyDescent="0.25">
      <c r="A406" s="6" t="s">
        <v>314</v>
      </c>
      <c r="B406" s="6" t="s">
        <v>315</v>
      </c>
      <c r="C406" s="6" t="s">
        <v>316</v>
      </c>
      <c r="D406" s="6" t="s">
        <v>307</v>
      </c>
    </row>
    <row r="407" spans="1:4" x14ac:dyDescent="0.25">
      <c r="A407" s="8">
        <f ca="1">_xll.BDH("TPX Index","BEST_PE_RATIO","02/01/2016",TODAY(),"Per=M","cols=2;rows=121")</f>
        <v>42398</v>
      </c>
      <c r="B407">
        <v>15.2234</v>
      </c>
    </row>
    <row r="408" spans="1:4" x14ac:dyDescent="0.25">
      <c r="A408" s="8">
        <v>42429</v>
      </c>
      <c r="B408">
        <v>13.0236</v>
      </c>
    </row>
    <row r="409" spans="1:4" x14ac:dyDescent="0.25">
      <c r="A409" s="8">
        <v>42460</v>
      </c>
      <c r="B409">
        <v>13.704499999999999</v>
      </c>
    </row>
    <row r="410" spans="1:4" x14ac:dyDescent="0.25">
      <c r="A410" s="8">
        <v>42489</v>
      </c>
      <c r="B410">
        <v>14.1494</v>
      </c>
    </row>
    <row r="411" spans="1:4" x14ac:dyDescent="0.25">
      <c r="A411" s="8">
        <v>42521</v>
      </c>
      <c r="B411">
        <v>15.265499999999999</v>
      </c>
    </row>
    <row r="412" spans="1:4" x14ac:dyDescent="0.25">
      <c r="A412" s="8">
        <v>42551</v>
      </c>
      <c r="B412">
        <v>14.1286</v>
      </c>
    </row>
    <row r="413" spans="1:4" x14ac:dyDescent="0.25">
      <c r="A413" s="8">
        <v>42580</v>
      </c>
      <c r="B413">
        <v>15.5046</v>
      </c>
    </row>
    <row r="414" spans="1:4" x14ac:dyDescent="0.25">
      <c r="A414" s="8">
        <v>42613</v>
      </c>
      <c r="B414">
        <v>15.7636</v>
      </c>
    </row>
    <row r="415" spans="1:4" x14ac:dyDescent="0.25">
      <c r="A415" s="8">
        <v>42643</v>
      </c>
      <c r="B415">
        <v>15.660500000000001</v>
      </c>
    </row>
    <row r="416" spans="1:4" x14ac:dyDescent="0.25">
      <c r="A416" s="8">
        <v>42674</v>
      </c>
      <c r="B416">
        <v>16.245899999999999</v>
      </c>
    </row>
    <row r="417" spans="1:2" x14ac:dyDescent="0.25">
      <c r="A417" s="8">
        <v>42704</v>
      </c>
      <c r="B417">
        <v>17.199200000000001</v>
      </c>
    </row>
    <row r="418" spans="1:2" x14ac:dyDescent="0.25">
      <c r="A418" s="8">
        <v>42734</v>
      </c>
      <c r="B418">
        <v>17.735299999999999</v>
      </c>
    </row>
    <row r="419" spans="1:2" x14ac:dyDescent="0.25">
      <c r="A419" s="8">
        <v>42766</v>
      </c>
      <c r="B419">
        <v>17.814399999999999</v>
      </c>
    </row>
    <row r="420" spans="1:2" x14ac:dyDescent="0.25">
      <c r="A420" s="8">
        <v>42794</v>
      </c>
      <c r="B420">
        <v>15.1553</v>
      </c>
    </row>
    <row r="421" spans="1:2" x14ac:dyDescent="0.25">
      <c r="A421" s="8">
        <v>42825</v>
      </c>
      <c r="B421">
        <v>14.948</v>
      </c>
    </row>
    <row r="422" spans="1:2" x14ac:dyDescent="0.25">
      <c r="A422" s="8">
        <v>42853</v>
      </c>
      <c r="B422">
        <v>14.922000000000001</v>
      </c>
    </row>
    <row r="423" spans="1:2" x14ac:dyDescent="0.25">
      <c r="A423" s="8">
        <v>42886</v>
      </c>
      <c r="B423">
        <v>14.946400000000001</v>
      </c>
    </row>
    <row r="424" spans="1:2" x14ac:dyDescent="0.25">
      <c r="A424" s="8">
        <v>42916</v>
      </c>
      <c r="B424">
        <v>15.065099999999999</v>
      </c>
    </row>
    <row r="425" spans="1:2" x14ac:dyDescent="0.25">
      <c r="A425" s="8">
        <v>42947</v>
      </c>
      <c r="B425">
        <v>14.769299999999999</v>
      </c>
    </row>
    <row r="426" spans="1:2" x14ac:dyDescent="0.25">
      <c r="A426" s="8">
        <v>42978</v>
      </c>
      <c r="B426">
        <v>14.7027</v>
      </c>
    </row>
    <row r="427" spans="1:2" x14ac:dyDescent="0.25">
      <c r="A427" s="8">
        <v>43007</v>
      </c>
      <c r="B427">
        <v>15.2576</v>
      </c>
    </row>
    <row r="428" spans="1:2" x14ac:dyDescent="0.25">
      <c r="A428" s="8">
        <v>43039</v>
      </c>
      <c r="B428">
        <v>15.5223</v>
      </c>
    </row>
    <row r="429" spans="1:2" x14ac:dyDescent="0.25">
      <c r="A429" s="8">
        <v>43069</v>
      </c>
      <c r="B429">
        <v>15.922599999999999</v>
      </c>
    </row>
    <row r="430" spans="1:2" x14ac:dyDescent="0.25">
      <c r="A430" s="8">
        <v>43098</v>
      </c>
      <c r="B430">
        <v>16.1187</v>
      </c>
    </row>
    <row r="431" spans="1:2" x14ac:dyDescent="0.25">
      <c r="A431" s="8">
        <v>43131</v>
      </c>
      <c r="B431">
        <v>16.1846</v>
      </c>
    </row>
    <row r="432" spans="1:2" x14ac:dyDescent="0.25">
      <c r="A432" s="8">
        <v>43159</v>
      </c>
      <c r="B432">
        <v>14.7143</v>
      </c>
    </row>
    <row r="433" spans="1:2" x14ac:dyDescent="0.25">
      <c r="A433" s="8">
        <v>43189</v>
      </c>
      <c r="B433">
        <v>14.352399999999999</v>
      </c>
    </row>
    <row r="434" spans="1:2" x14ac:dyDescent="0.25">
      <c r="A434" s="8">
        <v>43220</v>
      </c>
      <c r="B434">
        <v>14.835699999999999</v>
      </c>
    </row>
    <row r="435" spans="1:2" x14ac:dyDescent="0.25">
      <c r="A435" s="8">
        <v>43251</v>
      </c>
      <c r="B435">
        <v>14.5617</v>
      </c>
    </row>
    <row r="436" spans="1:2" x14ac:dyDescent="0.25">
      <c r="A436" s="8">
        <v>43280</v>
      </c>
      <c r="B436">
        <v>14.263400000000001</v>
      </c>
    </row>
    <row r="437" spans="1:2" x14ac:dyDescent="0.25">
      <c r="A437" s="8">
        <v>43312</v>
      </c>
      <c r="B437">
        <v>14.347</v>
      </c>
    </row>
    <row r="438" spans="1:2" x14ac:dyDescent="0.25">
      <c r="A438" s="8">
        <v>43343</v>
      </c>
      <c r="B438">
        <v>14.2622</v>
      </c>
    </row>
    <row r="439" spans="1:2" x14ac:dyDescent="0.25">
      <c r="A439" s="8">
        <v>43371</v>
      </c>
      <c r="B439">
        <v>14.964499999999999</v>
      </c>
    </row>
    <row r="440" spans="1:2" x14ac:dyDescent="0.25">
      <c r="A440" s="8">
        <v>43404</v>
      </c>
      <c r="B440">
        <v>13.442500000000001</v>
      </c>
    </row>
    <row r="441" spans="1:2" x14ac:dyDescent="0.25">
      <c r="A441" s="8">
        <v>43434</v>
      </c>
      <c r="B441">
        <v>13.7759</v>
      </c>
    </row>
    <row r="442" spans="1:2" x14ac:dyDescent="0.25">
      <c r="A442" s="8">
        <v>43465</v>
      </c>
      <c r="B442">
        <v>12.391999999999999</v>
      </c>
    </row>
    <row r="443" spans="1:2" x14ac:dyDescent="0.25">
      <c r="A443" s="8">
        <v>43496</v>
      </c>
      <c r="B443">
        <v>13.3118</v>
      </c>
    </row>
    <row r="444" spans="1:2" x14ac:dyDescent="0.25">
      <c r="A444" s="8">
        <v>43524</v>
      </c>
      <c r="B444">
        <v>13.3126</v>
      </c>
    </row>
    <row r="445" spans="1:2" x14ac:dyDescent="0.25">
      <c r="A445" s="8">
        <v>43553</v>
      </c>
      <c r="B445">
        <v>13.2867</v>
      </c>
    </row>
    <row r="446" spans="1:2" x14ac:dyDescent="0.25">
      <c r="A446" s="8">
        <v>43585</v>
      </c>
      <c r="B446">
        <v>13.6114</v>
      </c>
    </row>
    <row r="447" spans="1:2" x14ac:dyDescent="0.25">
      <c r="A447" s="8">
        <v>43616</v>
      </c>
      <c r="B447">
        <v>13.2163</v>
      </c>
    </row>
    <row r="448" spans="1:2" x14ac:dyDescent="0.25">
      <c r="A448" s="8">
        <v>43644</v>
      </c>
      <c r="B448">
        <v>13.649100000000001</v>
      </c>
    </row>
    <row r="449" spans="1:2" x14ac:dyDescent="0.25">
      <c r="A449" s="8">
        <v>43677</v>
      </c>
      <c r="B449">
        <v>13.816800000000001</v>
      </c>
    </row>
    <row r="450" spans="1:2" x14ac:dyDescent="0.25">
      <c r="A450" s="8">
        <v>43707</v>
      </c>
      <c r="B450">
        <v>13.7506</v>
      </c>
    </row>
    <row r="451" spans="1:2" x14ac:dyDescent="0.25">
      <c r="A451" s="8">
        <v>43738</v>
      </c>
      <c r="B451">
        <v>14.4008</v>
      </c>
    </row>
    <row r="452" spans="1:2" x14ac:dyDescent="0.25">
      <c r="A452" s="8">
        <v>43769</v>
      </c>
      <c r="B452">
        <v>15.2424</v>
      </c>
    </row>
    <row r="453" spans="1:2" x14ac:dyDescent="0.25">
      <c r="A453" s="8">
        <v>43798</v>
      </c>
      <c r="B453">
        <v>15.6334</v>
      </c>
    </row>
    <row r="454" spans="1:2" x14ac:dyDescent="0.25">
      <c r="A454" s="8">
        <v>43830</v>
      </c>
      <c r="B454">
        <v>15.7005</v>
      </c>
    </row>
    <row r="455" spans="1:2" x14ac:dyDescent="0.25">
      <c r="A455" s="8">
        <v>43861</v>
      </c>
      <c r="B455">
        <v>15.4779</v>
      </c>
    </row>
    <row r="456" spans="1:2" x14ac:dyDescent="0.25">
      <c r="A456" s="8">
        <v>43889</v>
      </c>
      <c r="B456">
        <v>13.622299999999999</v>
      </c>
    </row>
    <row r="457" spans="1:2" x14ac:dyDescent="0.25">
      <c r="A457" s="8">
        <v>43921</v>
      </c>
      <c r="B457">
        <v>13.924799999999999</v>
      </c>
    </row>
    <row r="458" spans="1:2" x14ac:dyDescent="0.25">
      <c r="A458" s="8">
        <v>43951</v>
      </c>
      <c r="B458">
        <v>17.759</v>
      </c>
    </row>
    <row r="459" spans="1:2" x14ac:dyDescent="0.25">
      <c r="A459" s="8">
        <v>43980</v>
      </c>
      <c r="B459">
        <v>21.7182</v>
      </c>
    </row>
    <row r="460" spans="1:2" x14ac:dyDescent="0.25">
      <c r="A460" s="8">
        <v>44012</v>
      </c>
      <c r="B460">
        <v>23.162299999999998</v>
      </c>
    </row>
    <row r="461" spans="1:2" x14ac:dyDescent="0.25">
      <c r="A461" s="8">
        <v>44043</v>
      </c>
      <c r="B461">
        <v>22.814499999999999</v>
      </c>
    </row>
    <row r="462" spans="1:2" x14ac:dyDescent="0.25">
      <c r="A462" s="8">
        <v>44074</v>
      </c>
      <c r="B462">
        <v>25.734000000000002</v>
      </c>
    </row>
    <row r="463" spans="1:2" x14ac:dyDescent="0.25">
      <c r="A463" s="8">
        <v>44104</v>
      </c>
      <c r="B463">
        <v>26.802499999999998</v>
      </c>
    </row>
    <row r="464" spans="1:2" x14ac:dyDescent="0.25">
      <c r="A464" s="8">
        <v>44134</v>
      </c>
      <c r="B464">
        <v>25.454999999999998</v>
      </c>
    </row>
    <row r="465" spans="1:2" x14ac:dyDescent="0.25">
      <c r="A465" s="8">
        <v>44165</v>
      </c>
      <c r="B465">
        <v>26.054600000000001</v>
      </c>
    </row>
    <row r="466" spans="1:2" x14ac:dyDescent="0.25">
      <c r="A466" s="8">
        <v>44196</v>
      </c>
      <c r="B466">
        <v>27.218</v>
      </c>
    </row>
    <row r="467" spans="1:2" x14ac:dyDescent="0.25">
      <c r="A467" s="8">
        <v>44225</v>
      </c>
      <c r="B467">
        <v>26.552900000000001</v>
      </c>
    </row>
    <row r="468" spans="1:2" x14ac:dyDescent="0.25">
      <c r="A468" s="8">
        <v>44253</v>
      </c>
      <c r="B468">
        <v>18.754999999999999</v>
      </c>
    </row>
    <row r="469" spans="1:2" x14ac:dyDescent="0.25">
      <c r="A469" s="8">
        <v>44286</v>
      </c>
      <c r="B469">
        <v>19.078499999999998</v>
      </c>
    </row>
    <row r="470" spans="1:2" x14ac:dyDescent="0.25">
      <c r="A470" s="8">
        <v>44316</v>
      </c>
      <c r="B470">
        <v>17.803799999999999</v>
      </c>
    </row>
    <row r="471" spans="1:2" x14ac:dyDescent="0.25">
      <c r="A471" s="8">
        <v>44347</v>
      </c>
      <c r="B471">
        <v>16.446400000000001</v>
      </c>
    </row>
    <row r="472" spans="1:2" x14ac:dyDescent="0.25">
      <c r="A472" s="8">
        <v>44377</v>
      </c>
      <c r="B472">
        <v>16.037500000000001</v>
      </c>
    </row>
    <row r="473" spans="1:2" x14ac:dyDescent="0.25">
      <c r="A473" s="8">
        <v>44407</v>
      </c>
      <c r="B473">
        <v>15.3795</v>
      </c>
    </row>
    <row r="474" spans="1:2" x14ac:dyDescent="0.25">
      <c r="A474" s="8">
        <v>44439</v>
      </c>
      <c r="B474">
        <v>14.8889</v>
      </c>
    </row>
    <row r="475" spans="1:2" x14ac:dyDescent="0.25">
      <c r="A475" s="8">
        <v>44469</v>
      </c>
      <c r="B475">
        <v>15.2811</v>
      </c>
    </row>
    <row r="476" spans="1:2" x14ac:dyDescent="0.25">
      <c r="A476" s="8">
        <v>44498</v>
      </c>
      <c r="B476">
        <v>15.436500000000001</v>
      </c>
    </row>
    <row r="477" spans="1:2" x14ac:dyDescent="0.25">
      <c r="A477" s="8">
        <v>44530</v>
      </c>
      <c r="B477">
        <v>14.853400000000001</v>
      </c>
    </row>
    <row r="478" spans="1:2" x14ac:dyDescent="0.25">
      <c r="A478" s="8">
        <v>44561</v>
      </c>
      <c r="B478">
        <v>15.268599999999999</v>
      </c>
    </row>
    <row r="479" spans="1:2" x14ac:dyDescent="0.25">
      <c r="A479" s="8">
        <v>44592</v>
      </c>
      <c r="B479">
        <v>14.419499999999999</v>
      </c>
    </row>
    <row r="480" spans="1:2" x14ac:dyDescent="0.25">
      <c r="A480" s="8">
        <v>44620</v>
      </c>
      <c r="B480">
        <v>13.4191</v>
      </c>
    </row>
    <row r="481" spans="1:2" x14ac:dyDescent="0.25">
      <c r="A481" s="8">
        <v>44651</v>
      </c>
      <c r="B481">
        <v>13.6023</v>
      </c>
    </row>
    <row r="482" spans="1:2" x14ac:dyDescent="0.25">
      <c r="A482" s="8">
        <v>44680</v>
      </c>
      <c r="B482">
        <v>13.3226</v>
      </c>
    </row>
    <row r="483" spans="1:2" x14ac:dyDescent="0.25">
      <c r="A483" s="8">
        <v>44712</v>
      </c>
      <c r="B483">
        <v>13.873900000000001</v>
      </c>
    </row>
    <row r="484" spans="1:2" x14ac:dyDescent="0.25">
      <c r="A484" s="8">
        <v>44742</v>
      </c>
      <c r="B484">
        <v>13.2567</v>
      </c>
    </row>
    <row r="485" spans="1:2" x14ac:dyDescent="0.25">
      <c r="A485" s="8">
        <v>44771</v>
      </c>
      <c r="B485">
        <v>13.765000000000001</v>
      </c>
    </row>
    <row r="486" spans="1:2" x14ac:dyDescent="0.25">
      <c r="A486" s="8">
        <v>44804</v>
      </c>
      <c r="B486">
        <v>14.4253</v>
      </c>
    </row>
    <row r="487" spans="1:2" x14ac:dyDescent="0.25">
      <c r="A487" s="8">
        <v>44834</v>
      </c>
      <c r="B487">
        <v>13.5558</v>
      </c>
    </row>
    <row r="488" spans="1:2" x14ac:dyDescent="0.25">
      <c r="A488" s="8">
        <v>44865</v>
      </c>
      <c r="B488">
        <v>14.413500000000001</v>
      </c>
    </row>
    <row r="489" spans="1:2" x14ac:dyDescent="0.25">
      <c r="A489" s="8">
        <v>44895</v>
      </c>
      <c r="B489">
        <v>15.2158</v>
      </c>
    </row>
    <row r="490" spans="1:2" x14ac:dyDescent="0.25">
      <c r="A490" s="8">
        <v>44925</v>
      </c>
      <c r="B490">
        <v>14.5716</v>
      </c>
    </row>
    <row r="491" spans="1:2" x14ac:dyDescent="0.25">
      <c r="A491" s="8">
        <v>44957</v>
      </c>
      <c r="B491">
        <v>15.2956</v>
      </c>
    </row>
    <row r="492" spans="1:2" x14ac:dyDescent="0.25">
      <c r="A492" s="8">
        <v>44985</v>
      </c>
      <c r="B492">
        <v>13.0784</v>
      </c>
    </row>
    <row r="493" spans="1:2" x14ac:dyDescent="0.25">
      <c r="A493" s="8">
        <v>45016</v>
      </c>
      <c r="B493">
        <v>13.2142</v>
      </c>
    </row>
    <row r="494" spans="1:2" x14ac:dyDescent="0.25">
      <c r="A494" s="8">
        <v>45044</v>
      </c>
      <c r="B494">
        <v>13.4095</v>
      </c>
    </row>
    <row r="495" spans="1:2" x14ac:dyDescent="0.25">
      <c r="A495" s="8">
        <v>45077</v>
      </c>
      <c r="B495">
        <v>14.1508</v>
      </c>
    </row>
    <row r="496" spans="1:2" x14ac:dyDescent="0.25">
      <c r="A496" s="8">
        <v>45107</v>
      </c>
      <c r="B496">
        <v>15.283099999999999</v>
      </c>
    </row>
    <row r="497" spans="1:2" x14ac:dyDescent="0.25">
      <c r="A497" s="8">
        <v>45138</v>
      </c>
      <c r="B497">
        <v>15.2018</v>
      </c>
    </row>
    <row r="498" spans="1:2" x14ac:dyDescent="0.25">
      <c r="A498" s="8">
        <v>45169</v>
      </c>
      <c r="B498">
        <v>15.203200000000001</v>
      </c>
    </row>
    <row r="499" spans="1:2" x14ac:dyDescent="0.25">
      <c r="A499" s="8">
        <v>45198</v>
      </c>
      <c r="B499">
        <v>14.991</v>
      </c>
    </row>
    <row r="500" spans="1:2" x14ac:dyDescent="0.25">
      <c r="A500" s="8">
        <v>45230</v>
      </c>
      <c r="B500">
        <v>14.525499999999999</v>
      </c>
    </row>
    <row r="501" spans="1:2" x14ac:dyDescent="0.25">
      <c r="A501" s="8">
        <v>45260</v>
      </c>
      <c r="B501">
        <v>15.313000000000001</v>
      </c>
    </row>
    <row r="502" spans="1:2" x14ac:dyDescent="0.25">
      <c r="A502" s="8">
        <v>45289</v>
      </c>
      <c r="B502">
        <v>15.2782</v>
      </c>
    </row>
    <row r="503" spans="1:2" x14ac:dyDescent="0.25">
      <c r="A503" s="8">
        <v>45322</v>
      </c>
      <c r="B503">
        <v>15.986000000000001</v>
      </c>
    </row>
    <row r="504" spans="1:2" x14ac:dyDescent="0.25">
      <c r="A504" s="8">
        <v>45351</v>
      </c>
      <c r="B504">
        <v>15.8705</v>
      </c>
    </row>
    <row r="505" spans="1:2" x14ac:dyDescent="0.25">
      <c r="A505" s="8">
        <v>45380</v>
      </c>
      <c r="B505">
        <v>16.235299999999999</v>
      </c>
    </row>
    <row r="506" spans="1:2" x14ac:dyDescent="0.25">
      <c r="A506" s="8">
        <v>45412</v>
      </c>
      <c r="B506">
        <v>16.062100000000001</v>
      </c>
    </row>
    <row r="507" spans="1:2" x14ac:dyDescent="0.25">
      <c r="A507" s="8">
        <v>45443</v>
      </c>
      <c r="B507">
        <v>15.897399999999999</v>
      </c>
    </row>
    <row r="508" spans="1:2" x14ac:dyDescent="0.25">
      <c r="A508" s="8">
        <v>45471</v>
      </c>
      <c r="B508">
        <v>15.782400000000001</v>
      </c>
    </row>
    <row r="509" spans="1:2" x14ac:dyDescent="0.25">
      <c r="A509" s="8">
        <v>45504</v>
      </c>
      <c r="B509">
        <v>15.444699999999999</v>
      </c>
    </row>
    <row r="510" spans="1:2" x14ac:dyDescent="0.25">
      <c r="A510" s="8">
        <v>45534</v>
      </c>
      <c r="B510">
        <v>14.995100000000001</v>
      </c>
    </row>
    <row r="511" spans="1:2" x14ac:dyDescent="0.25">
      <c r="A511" s="8">
        <v>45565</v>
      </c>
      <c r="B511">
        <v>14.602399999999999</v>
      </c>
    </row>
    <row r="512" spans="1:2" x14ac:dyDescent="0.25">
      <c r="A512" s="8">
        <v>45596</v>
      </c>
      <c r="B512">
        <v>15.1053</v>
      </c>
    </row>
    <row r="513" spans="1:2" x14ac:dyDescent="0.25">
      <c r="A513" s="8">
        <v>45625</v>
      </c>
      <c r="B513">
        <v>14.738799999999999</v>
      </c>
    </row>
    <row r="514" spans="1:2" x14ac:dyDescent="0.25">
      <c r="A514" s="8">
        <v>45657</v>
      </c>
      <c r="B514">
        <v>15.353400000000001</v>
      </c>
    </row>
    <row r="515" spans="1:2" x14ac:dyDescent="0.25">
      <c r="A515" s="8">
        <v>45688</v>
      </c>
      <c r="B515">
        <v>15.368499999999999</v>
      </c>
    </row>
    <row r="516" spans="1:2" x14ac:dyDescent="0.25">
      <c r="A516" s="8">
        <v>45716</v>
      </c>
      <c r="B516">
        <v>14.494899999999999</v>
      </c>
    </row>
    <row r="517" spans="1:2" x14ac:dyDescent="0.25">
      <c r="A517" s="8">
        <v>45747</v>
      </c>
      <c r="B517">
        <v>14.1812</v>
      </c>
    </row>
    <row r="518" spans="1:2" x14ac:dyDescent="0.25">
      <c r="A518" s="8">
        <v>45777</v>
      </c>
      <c r="B518">
        <v>14.4762</v>
      </c>
    </row>
    <row r="519" spans="1:2" x14ac:dyDescent="0.25">
      <c r="A519" s="8">
        <v>45807</v>
      </c>
      <c r="B519">
        <v>15.5227</v>
      </c>
    </row>
    <row r="520" spans="1:2" x14ac:dyDescent="0.25">
      <c r="A520" s="8">
        <v>45838</v>
      </c>
      <c r="B520">
        <v>16.134699999999999</v>
      </c>
    </row>
    <row r="521" spans="1:2" x14ac:dyDescent="0.25">
      <c r="A521" s="8">
        <v>45869</v>
      </c>
      <c r="B521">
        <v>16.248699999999999</v>
      </c>
    </row>
    <row r="522" spans="1:2" x14ac:dyDescent="0.25">
      <c r="A522" s="8">
        <v>45898</v>
      </c>
      <c r="B522">
        <v>16.644200000000001</v>
      </c>
    </row>
    <row r="523" spans="1:2" x14ac:dyDescent="0.25">
      <c r="A523" s="8">
        <v>45930</v>
      </c>
      <c r="B523">
        <v>17.209099999999999</v>
      </c>
    </row>
    <row r="524" spans="1:2" x14ac:dyDescent="0.25">
      <c r="A524" s="8">
        <v>45961</v>
      </c>
      <c r="B524">
        <v>18.381699999999999</v>
      </c>
    </row>
    <row r="525" spans="1:2" x14ac:dyDescent="0.25">
      <c r="A525" s="8">
        <v>45989</v>
      </c>
      <c r="B525">
        <v>17.539200000000001</v>
      </c>
    </row>
    <row r="526" spans="1:2" x14ac:dyDescent="0.25">
      <c r="A526" s="8">
        <v>46022</v>
      </c>
      <c r="B526">
        <v>17.881499999999999</v>
      </c>
    </row>
    <row r="527" spans="1:2" x14ac:dyDescent="0.25">
      <c r="A527" s="8">
        <v>46052</v>
      </c>
      <c r="B527">
        <v>18.610600000000002</v>
      </c>
    </row>
    <row r="541" spans="1:4" x14ac:dyDescent="0.25">
      <c r="A541" s="6" t="s">
        <v>317</v>
      </c>
      <c r="B541" s="6" t="s">
        <v>318</v>
      </c>
      <c r="C541" s="6" t="s">
        <v>319</v>
      </c>
      <c r="D541" s="6" t="s">
        <v>307</v>
      </c>
    </row>
    <row r="542" spans="1:4" x14ac:dyDescent="0.25">
      <c r="A542" s="8">
        <f ca="1">_xll.BDH("MXEF Index","BEST_PE_RATIO","02/01/2016",TODAY(),"Per=M","cols=2;rows=121")</f>
        <v>42398</v>
      </c>
      <c r="B542">
        <v>11.3963</v>
      </c>
    </row>
    <row r="543" spans="1:4" x14ac:dyDescent="0.25">
      <c r="A543" s="8">
        <v>42429</v>
      </c>
      <c r="B543">
        <v>11.2994</v>
      </c>
    </row>
    <row r="544" spans="1:4" x14ac:dyDescent="0.25">
      <c r="A544" s="8">
        <v>42460</v>
      </c>
      <c r="B544">
        <v>12.067299999999999</v>
      </c>
    </row>
    <row r="545" spans="1:2" x14ac:dyDescent="0.25">
      <c r="A545" s="8">
        <v>42489</v>
      </c>
      <c r="B545">
        <v>11.9489</v>
      </c>
    </row>
    <row r="546" spans="1:2" x14ac:dyDescent="0.25">
      <c r="A546" s="8">
        <v>42521</v>
      </c>
      <c r="B546">
        <v>11.7668</v>
      </c>
    </row>
    <row r="547" spans="1:2" x14ac:dyDescent="0.25">
      <c r="A547" s="8">
        <v>42551</v>
      </c>
      <c r="B547">
        <v>12.424099999999999</v>
      </c>
    </row>
    <row r="548" spans="1:2" x14ac:dyDescent="0.25">
      <c r="A548" s="8">
        <v>42580</v>
      </c>
      <c r="B548">
        <v>12.9633</v>
      </c>
    </row>
    <row r="549" spans="1:2" x14ac:dyDescent="0.25">
      <c r="A549" s="8">
        <v>42613</v>
      </c>
      <c r="B549">
        <v>13.183299999999999</v>
      </c>
    </row>
    <row r="550" spans="1:2" x14ac:dyDescent="0.25">
      <c r="A550" s="8">
        <v>42643</v>
      </c>
      <c r="B550">
        <v>13.271100000000001</v>
      </c>
    </row>
    <row r="551" spans="1:2" x14ac:dyDescent="0.25">
      <c r="A551" s="8">
        <v>42674</v>
      </c>
      <c r="B551">
        <v>13.525</v>
      </c>
    </row>
    <row r="552" spans="1:2" x14ac:dyDescent="0.25">
      <c r="A552" s="8">
        <v>42704</v>
      </c>
      <c r="B552">
        <v>13.296799999999999</v>
      </c>
    </row>
    <row r="553" spans="1:2" x14ac:dyDescent="0.25">
      <c r="A553" s="8">
        <v>42734</v>
      </c>
      <c r="B553">
        <v>13.304399999999999</v>
      </c>
    </row>
    <row r="554" spans="1:2" x14ac:dyDescent="0.25">
      <c r="A554" s="8">
        <v>42766</v>
      </c>
      <c r="B554">
        <v>14.103400000000001</v>
      </c>
    </row>
    <row r="555" spans="1:2" x14ac:dyDescent="0.25">
      <c r="A555" s="8">
        <v>42794</v>
      </c>
      <c r="B555">
        <v>14.494899999999999</v>
      </c>
    </row>
    <row r="556" spans="1:2" x14ac:dyDescent="0.25">
      <c r="A556" s="8">
        <v>42825</v>
      </c>
      <c r="B556">
        <v>11.864800000000001</v>
      </c>
    </row>
    <row r="557" spans="1:2" x14ac:dyDescent="0.25">
      <c r="A557" s="8">
        <v>42853</v>
      </c>
      <c r="B557">
        <v>12.1005</v>
      </c>
    </row>
    <row r="558" spans="1:2" x14ac:dyDescent="0.25">
      <c r="A558" s="8">
        <v>42886</v>
      </c>
      <c r="B558">
        <v>12.4107</v>
      </c>
    </row>
    <row r="559" spans="1:2" x14ac:dyDescent="0.25">
      <c r="A559" s="8">
        <v>42916</v>
      </c>
      <c r="B559">
        <v>12.506600000000001</v>
      </c>
    </row>
    <row r="560" spans="1:2" x14ac:dyDescent="0.25">
      <c r="A560" s="8">
        <v>42947</v>
      </c>
      <c r="B560">
        <v>13.1248</v>
      </c>
    </row>
    <row r="561" spans="1:2" x14ac:dyDescent="0.25">
      <c r="A561" s="8">
        <v>42978</v>
      </c>
      <c r="B561">
        <v>13.159599999999999</v>
      </c>
    </row>
    <row r="562" spans="1:2" x14ac:dyDescent="0.25">
      <c r="A562" s="8">
        <v>43007</v>
      </c>
      <c r="B562">
        <v>13.1534</v>
      </c>
    </row>
    <row r="563" spans="1:2" x14ac:dyDescent="0.25">
      <c r="A563" s="8">
        <v>43039</v>
      </c>
      <c r="B563">
        <v>13.597</v>
      </c>
    </row>
    <row r="564" spans="1:2" x14ac:dyDescent="0.25">
      <c r="A564" s="8">
        <v>43069</v>
      </c>
      <c r="B564">
        <v>13.4171</v>
      </c>
    </row>
    <row r="565" spans="1:2" x14ac:dyDescent="0.25">
      <c r="A565" s="8">
        <v>43098</v>
      </c>
      <c r="B565">
        <v>13.814399999999999</v>
      </c>
    </row>
    <row r="566" spans="1:2" x14ac:dyDescent="0.25">
      <c r="A566" s="8">
        <v>43131</v>
      </c>
      <c r="B566">
        <v>14.952299999999999</v>
      </c>
    </row>
    <row r="567" spans="1:2" x14ac:dyDescent="0.25">
      <c r="A567" s="8">
        <v>43159</v>
      </c>
      <c r="B567">
        <v>14.6105</v>
      </c>
    </row>
    <row r="568" spans="1:2" x14ac:dyDescent="0.25">
      <c r="A568" s="8">
        <v>43189</v>
      </c>
      <c r="B568">
        <v>12.0137</v>
      </c>
    </row>
    <row r="569" spans="1:2" x14ac:dyDescent="0.25">
      <c r="A569" s="8">
        <v>43220</v>
      </c>
      <c r="B569">
        <v>11.946099999999999</v>
      </c>
    </row>
    <row r="570" spans="1:2" x14ac:dyDescent="0.25">
      <c r="A570" s="8">
        <v>43251</v>
      </c>
      <c r="B570">
        <v>11.6557</v>
      </c>
    </row>
    <row r="571" spans="1:2" x14ac:dyDescent="0.25">
      <c r="A571" s="8">
        <v>43280</v>
      </c>
      <c r="B571">
        <v>11.4754</v>
      </c>
    </row>
    <row r="572" spans="1:2" x14ac:dyDescent="0.25">
      <c r="A572" s="8">
        <v>43312</v>
      </c>
      <c r="B572">
        <v>11.508100000000001</v>
      </c>
    </row>
    <row r="573" spans="1:2" x14ac:dyDescent="0.25">
      <c r="A573" s="8">
        <v>43343</v>
      </c>
      <c r="B573">
        <v>11.500500000000001</v>
      </c>
    </row>
    <row r="574" spans="1:2" x14ac:dyDescent="0.25">
      <c r="A574" s="8">
        <v>43371</v>
      </c>
      <c r="B574">
        <v>11.4084</v>
      </c>
    </row>
    <row r="575" spans="1:2" x14ac:dyDescent="0.25">
      <c r="A575" s="8">
        <v>43404</v>
      </c>
      <c r="B575">
        <v>10.593400000000001</v>
      </c>
    </row>
    <row r="576" spans="1:2" x14ac:dyDescent="0.25">
      <c r="A576" s="8">
        <v>43434</v>
      </c>
      <c r="B576">
        <v>11.254</v>
      </c>
    </row>
    <row r="577" spans="1:2" x14ac:dyDescent="0.25">
      <c r="A577" s="8">
        <v>43465</v>
      </c>
      <c r="B577">
        <v>10.9556</v>
      </c>
    </row>
    <row r="578" spans="1:2" x14ac:dyDescent="0.25">
      <c r="A578" s="8">
        <v>43496</v>
      </c>
      <c r="B578">
        <v>12.126099999999999</v>
      </c>
    </row>
    <row r="579" spans="1:2" x14ac:dyDescent="0.25">
      <c r="A579" s="8">
        <v>43524</v>
      </c>
      <c r="B579">
        <v>12.200100000000001</v>
      </c>
    </row>
    <row r="580" spans="1:2" x14ac:dyDescent="0.25">
      <c r="A580" s="8">
        <v>43553</v>
      </c>
      <c r="B580">
        <v>12.0619</v>
      </c>
    </row>
    <row r="581" spans="1:2" x14ac:dyDescent="0.25">
      <c r="A581" s="8">
        <v>43585</v>
      </c>
      <c r="B581">
        <v>12.5108</v>
      </c>
    </row>
    <row r="582" spans="1:2" x14ac:dyDescent="0.25">
      <c r="A582" s="8">
        <v>43616</v>
      </c>
      <c r="B582">
        <v>12.137600000000001</v>
      </c>
    </row>
    <row r="583" spans="1:2" x14ac:dyDescent="0.25">
      <c r="A583" s="8">
        <v>43644</v>
      </c>
      <c r="B583">
        <v>12.779</v>
      </c>
    </row>
    <row r="584" spans="1:2" x14ac:dyDescent="0.25">
      <c r="A584" s="8">
        <v>43677</v>
      </c>
      <c r="B584">
        <v>12.7166</v>
      </c>
    </row>
    <row r="585" spans="1:2" x14ac:dyDescent="0.25">
      <c r="A585" s="8">
        <v>43707</v>
      </c>
      <c r="B585">
        <v>12.673999999999999</v>
      </c>
    </row>
    <row r="586" spans="1:2" x14ac:dyDescent="0.25">
      <c r="A586" s="8">
        <v>43738</v>
      </c>
      <c r="B586">
        <v>12.760300000000001</v>
      </c>
    </row>
    <row r="587" spans="1:2" x14ac:dyDescent="0.25">
      <c r="A587" s="8">
        <v>43769</v>
      </c>
      <c r="B587">
        <v>13.269600000000001</v>
      </c>
    </row>
    <row r="588" spans="1:2" x14ac:dyDescent="0.25">
      <c r="A588" s="8">
        <v>43798</v>
      </c>
      <c r="B588">
        <v>13.6097</v>
      </c>
    </row>
    <row r="589" spans="1:2" x14ac:dyDescent="0.25">
      <c r="A589" s="8">
        <v>43830</v>
      </c>
      <c r="B589">
        <v>14.4397</v>
      </c>
    </row>
    <row r="590" spans="1:2" x14ac:dyDescent="0.25">
      <c r="A590" s="8">
        <v>43861</v>
      </c>
      <c r="B590">
        <v>13.9658</v>
      </c>
    </row>
    <row r="591" spans="1:2" x14ac:dyDescent="0.25">
      <c r="A591" s="8">
        <v>43889</v>
      </c>
      <c r="B591">
        <v>13.5321</v>
      </c>
    </row>
    <row r="592" spans="1:2" x14ac:dyDescent="0.25">
      <c r="A592" s="8">
        <v>43921</v>
      </c>
      <c r="B592">
        <v>11.224399999999999</v>
      </c>
    </row>
    <row r="593" spans="1:2" x14ac:dyDescent="0.25">
      <c r="A593" s="8">
        <v>43951</v>
      </c>
      <c r="B593">
        <v>13.3413</v>
      </c>
    </row>
    <row r="594" spans="1:2" x14ac:dyDescent="0.25">
      <c r="A594" s="8">
        <v>43980</v>
      </c>
      <c r="B594">
        <v>13.9565</v>
      </c>
    </row>
    <row r="595" spans="1:2" x14ac:dyDescent="0.25">
      <c r="A595" s="8">
        <v>44012</v>
      </c>
      <c r="B595">
        <v>15.611800000000001</v>
      </c>
    </row>
    <row r="596" spans="1:2" x14ac:dyDescent="0.25">
      <c r="A596" s="8">
        <v>44043</v>
      </c>
      <c r="B596">
        <v>17.0883</v>
      </c>
    </row>
    <row r="597" spans="1:2" x14ac:dyDescent="0.25">
      <c r="A597" s="8">
        <v>44074</v>
      </c>
      <c r="B597">
        <v>17.641300000000001</v>
      </c>
    </row>
    <row r="598" spans="1:2" x14ac:dyDescent="0.25">
      <c r="A598" s="8">
        <v>44104</v>
      </c>
      <c r="B598">
        <v>17.3233</v>
      </c>
    </row>
    <row r="599" spans="1:2" x14ac:dyDescent="0.25">
      <c r="A599" s="8">
        <v>44134</v>
      </c>
      <c r="B599">
        <v>17.365300000000001</v>
      </c>
    </row>
    <row r="600" spans="1:2" x14ac:dyDescent="0.25">
      <c r="A600" s="8">
        <v>44165</v>
      </c>
      <c r="B600">
        <v>18.438300000000002</v>
      </c>
    </row>
    <row r="601" spans="1:2" x14ac:dyDescent="0.25">
      <c r="A601" s="8">
        <v>44196</v>
      </c>
      <c r="B601">
        <v>19.911100000000001</v>
      </c>
    </row>
    <row r="602" spans="1:2" x14ac:dyDescent="0.25">
      <c r="A602" s="8">
        <v>44225</v>
      </c>
      <c r="B602">
        <v>20.2942</v>
      </c>
    </row>
    <row r="603" spans="1:2" x14ac:dyDescent="0.25">
      <c r="A603" s="8">
        <v>44253</v>
      </c>
      <c r="B603">
        <v>19.922599999999999</v>
      </c>
    </row>
    <row r="604" spans="1:2" x14ac:dyDescent="0.25">
      <c r="A604" s="8">
        <v>44286</v>
      </c>
      <c r="B604">
        <v>15.0748</v>
      </c>
    </row>
    <row r="605" spans="1:2" x14ac:dyDescent="0.25">
      <c r="A605" s="8">
        <v>44316</v>
      </c>
      <c r="B605">
        <v>14.8718</v>
      </c>
    </row>
    <row r="606" spans="1:2" x14ac:dyDescent="0.25">
      <c r="A606" s="8">
        <v>44347</v>
      </c>
      <c r="B606">
        <v>15.071199999999999</v>
      </c>
    </row>
    <row r="607" spans="1:2" x14ac:dyDescent="0.25">
      <c r="A607" s="8">
        <v>44377</v>
      </c>
      <c r="B607">
        <v>14.8687</v>
      </c>
    </row>
    <row r="608" spans="1:2" x14ac:dyDescent="0.25">
      <c r="A608" s="8">
        <v>44407</v>
      </c>
      <c r="B608">
        <v>13.7364</v>
      </c>
    </row>
    <row r="609" spans="1:2" x14ac:dyDescent="0.25">
      <c r="A609" s="8">
        <v>44439</v>
      </c>
      <c r="B609">
        <v>13.873799999999999</v>
      </c>
    </row>
    <row r="610" spans="1:2" x14ac:dyDescent="0.25">
      <c r="A610" s="8">
        <v>44469</v>
      </c>
      <c r="B610">
        <v>13.456099999999999</v>
      </c>
    </row>
    <row r="611" spans="1:2" x14ac:dyDescent="0.25">
      <c r="A611" s="8">
        <v>44498</v>
      </c>
      <c r="B611">
        <v>13.5932</v>
      </c>
    </row>
    <row r="612" spans="1:2" x14ac:dyDescent="0.25">
      <c r="A612" s="8">
        <v>44530</v>
      </c>
      <c r="B612">
        <v>13.0807</v>
      </c>
    </row>
    <row r="613" spans="1:2" x14ac:dyDescent="0.25">
      <c r="A613" s="8">
        <v>44561</v>
      </c>
      <c r="B613">
        <v>13.419600000000001</v>
      </c>
    </row>
    <row r="614" spans="1:2" x14ac:dyDescent="0.25">
      <c r="A614" s="8">
        <v>44592</v>
      </c>
      <c r="B614">
        <v>12.998100000000001</v>
      </c>
    </row>
    <row r="615" spans="1:2" x14ac:dyDescent="0.25">
      <c r="A615" s="8">
        <v>44620</v>
      </c>
      <c r="B615">
        <v>12.5244</v>
      </c>
    </row>
    <row r="616" spans="1:2" x14ac:dyDescent="0.25">
      <c r="A616" s="8">
        <v>44651</v>
      </c>
      <c r="B616">
        <v>12.2035</v>
      </c>
    </row>
    <row r="617" spans="1:2" x14ac:dyDescent="0.25">
      <c r="A617" s="8">
        <v>44680</v>
      </c>
      <c r="B617">
        <v>11.7775</v>
      </c>
    </row>
    <row r="618" spans="1:2" x14ac:dyDescent="0.25">
      <c r="A618" s="8">
        <v>44712</v>
      </c>
      <c r="B618">
        <v>11.797800000000001</v>
      </c>
    </row>
    <row r="619" spans="1:2" x14ac:dyDescent="0.25">
      <c r="A619" s="8">
        <v>44742</v>
      </c>
      <c r="B619">
        <v>11.2883</v>
      </c>
    </row>
    <row r="620" spans="1:2" x14ac:dyDescent="0.25">
      <c r="A620" s="8">
        <v>44771</v>
      </c>
      <c r="B620">
        <v>11.3087</v>
      </c>
    </row>
    <row r="621" spans="1:2" x14ac:dyDescent="0.25">
      <c r="A621" s="8">
        <v>44804</v>
      </c>
      <c r="B621">
        <v>11.472200000000001</v>
      </c>
    </row>
    <row r="622" spans="1:2" x14ac:dyDescent="0.25">
      <c r="A622" s="8">
        <v>44834</v>
      </c>
      <c r="B622">
        <v>10.508699999999999</v>
      </c>
    </row>
    <row r="623" spans="1:2" x14ac:dyDescent="0.25">
      <c r="A623" s="8">
        <v>44865</v>
      </c>
      <c r="B623">
        <v>10.3485</v>
      </c>
    </row>
    <row r="624" spans="1:2" x14ac:dyDescent="0.25">
      <c r="A624" s="8">
        <v>44895</v>
      </c>
      <c r="B624">
        <v>11.7212</v>
      </c>
    </row>
    <row r="625" spans="1:2" x14ac:dyDescent="0.25">
      <c r="A625" s="8">
        <v>44925</v>
      </c>
      <c r="B625">
        <v>11.3971</v>
      </c>
    </row>
    <row r="626" spans="1:2" x14ac:dyDescent="0.25">
      <c r="A626" s="8">
        <v>44957</v>
      </c>
      <c r="B626">
        <v>12.4832</v>
      </c>
    </row>
    <row r="627" spans="1:2" x14ac:dyDescent="0.25">
      <c r="A627" s="8">
        <v>44985</v>
      </c>
      <c r="B627">
        <v>11.764900000000001</v>
      </c>
    </row>
    <row r="628" spans="1:2" x14ac:dyDescent="0.25">
      <c r="A628" s="8">
        <v>45016</v>
      </c>
      <c r="B628">
        <v>12.1845</v>
      </c>
    </row>
    <row r="629" spans="1:2" x14ac:dyDescent="0.25">
      <c r="A629" s="8">
        <v>45044</v>
      </c>
      <c r="B629">
        <v>12.207599999999999</v>
      </c>
    </row>
    <row r="630" spans="1:2" x14ac:dyDescent="0.25">
      <c r="A630" s="8">
        <v>45077</v>
      </c>
      <c r="B630">
        <v>12.4773</v>
      </c>
    </row>
    <row r="631" spans="1:2" x14ac:dyDescent="0.25">
      <c r="A631" s="8">
        <v>45107</v>
      </c>
      <c r="B631">
        <v>13.259399999999999</v>
      </c>
    </row>
    <row r="632" spans="1:2" x14ac:dyDescent="0.25">
      <c r="A632" s="8">
        <v>45138</v>
      </c>
      <c r="B632">
        <v>14.0017</v>
      </c>
    </row>
    <row r="633" spans="1:2" x14ac:dyDescent="0.25">
      <c r="A633" s="8">
        <v>45169</v>
      </c>
      <c r="B633">
        <v>13.4381</v>
      </c>
    </row>
    <row r="634" spans="1:2" x14ac:dyDescent="0.25">
      <c r="A634" s="8">
        <v>45198</v>
      </c>
      <c r="B634">
        <v>13.3185</v>
      </c>
    </row>
    <row r="635" spans="1:2" x14ac:dyDescent="0.25">
      <c r="A635" s="8">
        <v>45230</v>
      </c>
      <c r="B635">
        <v>12.8912</v>
      </c>
    </row>
    <row r="636" spans="1:2" x14ac:dyDescent="0.25">
      <c r="A636" s="8">
        <v>45260</v>
      </c>
      <c r="B636">
        <v>13.535299999999999</v>
      </c>
    </row>
    <row r="637" spans="1:2" x14ac:dyDescent="0.25">
      <c r="A637" s="8">
        <v>45289</v>
      </c>
      <c r="B637">
        <v>14.0601</v>
      </c>
    </row>
    <row r="638" spans="1:2" x14ac:dyDescent="0.25">
      <c r="A638" s="8">
        <v>45322</v>
      </c>
      <c r="B638">
        <v>13.167</v>
      </c>
    </row>
    <row r="639" spans="1:2" x14ac:dyDescent="0.25">
      <c r="A639" s="8">
        <v>45351</v>
      </c>
      <c r="B639">
        <v>13.8993</v>
      </c>
    </row>
    <row r="640" spans="1:2" x14ac:dyDescent="0.25">
      <c r="A640" s="8">
        <v>45380</v>
      </c>
      <c r="B640">
        <v>12.5403</v>
      </c>
    </row>
    <row r="641" spans="1:2" x14ac:dyDescent="0.25">
      <c r="A641" s="8">
        <v>45412</v>
      </c>
      <c r="B641">
        <v>12.6892</v>
      </c>
    </row>
    <row r="642" spans="1:2" x14ac:dyDescent="0.25">
      <c r="A642" s="8">
        <v>45443</v>
      </c>
      <c r="B642">
        <v>12.6158</v>
      </c>
    </row>
    <row r="643" spans="1:2" x14ac:dyDescent="0.25">
      <c r="A643" s="8">
        <v>45471</v>
      </c>
      <c r="B643">
        <v>13.1693</v>
      </c>
    </row>
    <row r="644" spans="1:2" x14ac:dyDescent="0.25">
      <c r="A644" s="8">
        <v>45504</v>
      </c>
      <c r="B644">
        <v>13.0685</v>
      </c>
    </row>
    <row r="645" spans="1:2" x14ac:dyDescent="0.25">
      <c r="A645" s="8">
        <v>45534</v>
      </c>
      <c r="B645">
        <v>12.9877</v>
      </c>
    </row>
    <row r="646" spans="1:2" x14ac:dyDescent="0.25">
      <c r="A646" s="8">
        <v>45565</v>
      </c>
      <c r="B646">
        <v>13.9726</v>
      </c>
    </row>
    <row r="647" spans="1:2" x14ac:dyDescent="0.25">
      <c r="A647" s="8">
        <v>45596</v>
      </c>
      <c r="B647">
        <v>13.6356</v>
      </c>
    </row>
    <row r="648" spans="1:2" x14ac:dyDescent="0.25">
      <c r="A648" s="8">
        <v>45625</v>
      </c>
      <c r="B648">
        <v>13.327</v>
      </c>
    </row>
    <row r="649" spans="1:2" x14ac:dyDescent="0.25">
      <c r="A649" s="8">
        <v>45657</v>
      </c>
      <c r="B649">
        <v>13.5319</v>
      </c>
    </row>
    <row r="650" spans="1:2" x14ac:dyDescent="0.25">
      <c r="A650" s="8">
        <v>45688</v>
      </c>
      <c r="B650">
        <v>13.7034</v>
      </c>
    </row>
    <row r="651" spans="1:2" x14ac:dyDescent="0.25">
      <c r="A651" s="8">
        <v>45716</v>
      </c>
      <c r="B651">
        <v>14.1751</v>
      </c>
    </row>
    <row r="652" spans="1:2" x14ac:dyDescent="0.25">
      <c r="A652" s="8">
        <v>45747</v>
      </c>
      <c r="B652">
        <v>12.385</v>
      </c>
    </row>
    <row r="653" spans="1:2" x14ac:dyDescent="0.25">
      <c r="A653" s="8">
        <v>45777</v>
      </c>
      <c r="B653">
        <v>12.4716</v>
      </c>
    </row>
    <row r="654" spans="1:2" x14ac:dyDescent="0.25">
      <c r="A654" s="8">
        <v>45807</v>
      </c>
      <c r="B654">
        <v>12.8865</v>
      </c>
    </row>
    <row r="655" spans="1:2" x14ac:dyDescent="0.25">
      <c r="A655" s="8">
        <v>45838</v>
      </c>
      <c r="B655">
        <v>13.4628</v>
      </c>
    </row>
    <row r="656" spans="1:2" x14ac:dyDescent="0.25">
      <c r="A656" s="8">
        <v>45869</v>
      </c>
      <c r="B656">
        <v>13.974399999999999</v>
      </c>
    </row>
    <row r="657" spans="1:2" x14ac:dyDescent="0.25">
      <c r="A657" s="8">
        <v>45898</v>
      </c>
      <c r="B657">
        <v>14.3429</v>
      </c>
    </row>
    <row r="658" spans="1:2" x14ac:dyDescent="0.25">
      <c r="A658" s="8">
        <v>45930</v>
      </c>
      <c r="B658">
        <v>15.383900000000001</v>
      </c>
    </row>
    <row r="659" spans="1:2" x14ac:dyDescent="0.25">
      <c r="A659" s="8">
        <v>45961</v>
      </c>
      <c r="B659">
        <v>15.819599999999999</v>
      </c>
    </row>
    <row r="660" spans="1:2" x14ac:dyDescent="0.25">
      <c r="A660" s="8">
        <v>45989</v>
      </c>
      <c r="B660">
        <v>15.5129</v>
      </c>
    </row>
    <row r="661" spans="1:2" x14ac:dyDescent="0.25">
      <c r="A661" s="8">
        <v>46022</v>
      </c>
      <c r="B661">
        <v>15.812099999999999</v>
      </c>
    </row>
    <row r="662" spans="1:2" x14ac:dyDescent="0.25">
      <c r="A662" s="8">
        <v>46052</v>
      </c>
      <c r="B662">
        <v>17.0991</v>
      </c>
    </row>
    <row r="676" spans="1:4" x14ac:dyDescent="0.25">
      <c r="A676" s="6" t="s">
        <v>320</v>
      </c>
      <c r="B676" s="6" t="s">
        <v>321</v>
      </c>
      <c r="C676" s="6" t="s">
        <v>322</v>
      </c>
      <c r="D676" s="6" t="s">
        <v>307</v>
      </c>
    </row>
    <row r="677" spans="1:4" x14ac:dyDescent="0.25">
      <c r="A677" s="8">
        <f ca="1">_xll.BDH("S5INFT Index","BEST_PE_RATIO","02/01/2016",TODAY(),"Per=M","cols=2;rows=121")</f>
        <v>42398</v>
      </c>
      <c r="B677">
        <v>16.978100000000001</v>
      </c>
    </row>
    <row r="678" spans="1:4" x14ac:dyDescent="0.25">
      <c r="A678" s="8">
        <v>42429</v>
      </c>
      <c r="B678">
        <v>17.034500000000001</v>
      </c>
    </row>
    <row r="679" spans="1:4" x14ac:dyDescent="0.25">
      <c r="A679" s="8">
        <v>42460</v>
      </c>
      <c r="B679">
        <v>16.971399999999999</v>
      </c>
    </row>
    <row r="680" spans="1:4" x14ac:dyDescent="0.25">
      <c r="A680" s="8">
        <v>42489</v>
      </c>
      <c r="B680">
        <v>16.724399999999999</v>
      </c>
    </row>
    <row r="681" spans="1:4" x14ac:dyDescent="0.25">
      <c r="A681" s="8">
        <v>42521</v>
      </c>
      <c r="B681">
        <v>17.6614</v>
      </c>
    </row>
    <row r="682" spans="1:4" x14ac:dyDescent="0.25">
      <c r="A682" s="8">
        <v>42551</v>
      </c>
      <c r="B682">
        <v>17.227399999999999</v>
      </c>
    </row>
    <row r="683" spans="1:4" x14ac:dyDescent="0.25">
      <c r="A683" s="8">
        <v>42580</v>
      </c>
      <c r="B683">
        <v>18.581499999999998</v>
      </c>
    </row>
    <row r="684" spans="1:4" x14ac:dyDescent="0.25">
      <c r="A684" s="8">
        <v>42613</v>
      </c>
      <c r="B684">
        <v>18.894300000000001</v>
      </c>
    </row>
    <row r="685" spans="1:4" x14ac:dyDescent="0.25">
      <c r="A685" s="8">
        <v>42643</v>
      </c>
      <c r="B685">
        <v>19.450099999999999</v>
      </c>
    </row>
    <row r="686" spans="1:4" x14ac:dyDescent="0.25">
      <c r="A686" s="8">
        <v>42674</v>
      </c>
      <c r="B686">
        <v>19.363900000000001</v>
      </c>
    </row>
    <row r="687" spans="1:4" x14ac:dyDescent="0.25">
      <c r="A687" s="8">
        <v>42704</v>
      </c>
      <c r="B687">
        <v>19.297000000000001</v>
      </c>
    </row>
    <row r="688" spans="1:4" x14ac:dyDescent="0.25">
      <c r="A688" s="8">
        <v>42734</v>
      </c>
      <c r="B688">
        <v>19.6691</v>
      </c>
    </row>
    <row r="689" spans="1:2" x14ac:dyDescent="0.25">
      <c r="A689" s="8">
        <v>42766</v>
      </c>
      <c r="B689">
        <v>21.325099999999999</v>
      </c>
    </row>
    <row r="690" spans="1:2" x14ac:dyDescent="0.25">
      <c r="A690" s="8">
        <v>42794</v>
      </c>
      <c r="B690">
        <v>17.805700000000002</v>
      </c>
    </row>
    <row r="691" spans="1:2" x14ac:dyDescent="0.25">
      <c r="A691" s="8">
        <v>42825</v>
      </c>
      <c r="B691">
        <v>18.000699999999998</v>
      </c>
    </row>
    <row r="692" spans="1:2" x14ac:dyDescent="0.25">
      <c r="A692" s="8">
        <v>42853</v>
      </c>
      <c r="B692">
        <v>18.442</v>
      </c>
    </row>
    <row r="693" spans="1:2" x14ac:dyDescent="0.25">
      <c r="A693" s="8">
        <v>42886</v>
      </c>
      <c r="B693">
        <v>19.162500000000001</v>
      </c>
    </row>
    <row r="694" spans="1:2" x14ac:dyDescent="0.25">
      <c r="A694" s="8">
        <v>42916</v>
      </c>
      <c r="B694">
        <v>18.418600000000001</v>
      </c>
    </row>
    <row r="695" spans="1:2" x14ac:dyDescent="0.25">
      <c r="A695" s="8">
        <v>42947</v>
      </c>
      <c r="B695">
        <v>18.8307</v>
      </c>
    </row>
    <row r="696" spans="1:2" x14ac:dyDescent="0.25">
      <c r="A696" s="8">
        <v>42978</v>
      </c>
      <c r="B696">
        <v>19.332799999999999</v>
      </c>
    </row>
    <row r="697" spans="1:2" x14ac:dyDescent="0.25">
      <c r="A697" s="8">
        <v>43007</v>
      </c>
      <c r="B697">
        <v>19.334499999999998</v>
      </c>
    </row>
    <row r="698" spans="1:2" x14ac:dyDescent="0.25">
      <c r="A698" s="8">
        <v>43039</v>
      </c>
      <c r="B698">
        <v>20.6188</v>
      </c>
    </row>
    <row r="699" spans="1:2" x14ac:dyDescent="0.25">
      <c r="A699" s="8">
        <v>43069</v>
      </c>
      <c r="B699">
        <v>20.768000000000001</v>
      </c>
    </row>
    <row r="700" spans="1:2" x14ac:dyDescent="0.25">
      <c r="A700" s="8">
        <v>43098</v>
      </c>
      <c r="B700">
        <v>20.7835</v>
      </c>
    </row>
    <row r="701" spans="1:2" x14ac:dyDescent="0.25">
      <c r="A701" s="8">
        <v>43131</v>
      </c>
      <c r="B701">
        <v>22.7714</v>
      </c>
    </row>
    <row r="702" spans="1:2" x14ac:dyDescent="0.25">
      <c r="A702" s="8">
        <v>43159</v>
      </c>
      <c r="B702">
        <v>23.382300000000001</v>
      </c>
    </row>
    <row r="703" spans="1:2" x14ac:dyDescent="0.25">
      <c r="A703" s="8">
        <v>43189</v>
      </c>
      <c r="B703">
        <v>22.552399999999999</v>
      </c>
    </row>
    <row r="704" spans="1:2" x14ac:dyDescent="0.25">
      <c r="A704" s="8">
        <v>43220</v>
      </c>
      <c r="B704">
        <v>17.310199999999998</v>
      </c>
    </row>
    <row r="705" spans="1:2" x14ac:dyDescent="0.25">
      <c r="A705" s="8">
        <v>43251</v>
      </c>
      <c r="B705">
        <v>18.4541</v>
      </c>
    </row>
    <row r="706" spans="1:2" x14ac:dyDescent="0.25">
      <c r="A706" s="8">
        <v>43280</v>
      </c>
      <c r="B706">
        <v>18.1844</v>
      </c>
    </row>
    <row r="707" spans="1:2" x14ac:dyDescent="0.25">
      <c r="A707" s="8">
        <v>43312</v>
      </c>
      <c r="B707">
        <v>18.5031</v>
      </c>
    </row>
    <row r="708" spans="1:2" x14ac:dyDescent="0.25">
      <c r="A708" s="8">
        <v>43343</v>
      </c>
      <c r="B708">
        <v>19.983599999999999</v>
      </c>
    </row>
    <row r="709" spans="1:2" x14ac:dyDescent="0.25">
      <c r="A709" s="8">
        <v>43371</v>
      </c>
      <c r="B709">
        <v>19.4907</v>
      </c>
    </row>
    <row r="710" spans="1:2" x14ac:dyDescent="0.25">
      <c r="A710" s="8">
        <v>43404</v>
      </c>
      <c r="B710">
        <v>17.867100000000001</v>
      </c>
    </row>
    <row r="711" spans="1:2" x14ac:dyDescent="0.25">
      <c r="A711" s="8">
        <v>43434</v>
      </c>
      <c r="B711">
        <v>17.608699999999999</v>
      </c>
    </row>
    <row r="712" spans="1:2" x14ac:dyDescent="0.25">
      <c r="A712" s="8">
        <v>43465</v>
      </c>
      <c r="B712">
        <v>16.153500000000001</v>
      </c>
    </row>
    <row r="713" spans="1:2" x14ac:dyDescent="0.25">
      <c r="A713" s="8">
        <v>43496</v>
      </c>
      <c r="B713">
        <v>17.7713</v>
      </c>
    </row>
    <row r="714" spans="1:2" x14ac:dyDescent="0.25">
      <c r="A714" s="8">
        <v>43524</v>
      </c>
      <c r="B714">
        <v>19.284300000000002</v>
      </c>
    </row>
    <row r="715" spans="1:2" x14ac:dyDescent="0.25">
      <c r="A715" s="8">
        <v>43553</v>
      </c>
      <c r="B715">
        <v>20.294</v>
      </c>
    </row>
    <row r="716" spans="1:2" x14ac:dyDescent="0.25">
      <c r="A716" s="8">
        <v>43585</v>
      </c>
      <c r="B716">
        <v>20.673999999999999</v>
      </c>
    </row>
    <row r="717" spans="1:2" x14ac:dyDescent="0.25">
      <c r="A717" s="8">
        <v>43616</v>
      </c>
      <c r="B717">
        <v>19.014399999999998</v>
      </c>
    </row>
    <row r="718" spans="1:2" x14ac:dyDescent="0.25">
      <c r="A718" s="8">
        <v>43644</v>
      </c>
      <c r="B718">
        <v>20.9636</v>
      </c>
    </row>
    <row r="719" spans="1:2" x14ac:dyDescent="0.25">
      <c r="A719" s="8">
        <v>43677</v>
      </c>
      <c r="B719">
        <v>21.082799999999999</v>
      </c>
    </row>
    <row r="720" spans="1:2" x14ac:dyDescent="0.25">
      <c r="A720" s="8">
        <v>43707</v>
      </c>
      <c r="B720">
        <v>21.315200000000001</v>
      </c>
    </row>
    <row r="721" spans="1:2" x14ac:dyDescent="0.25">
      <c r="A721" s="8">
        <v>43738</v>
      </c>
      <c r="B721">
        <v>21.705100000000002</v>
      </c>
    </row>
    <row r="722" spans="1:2" x14ac:dyDescent="0.25">
      <c r="A722" s="8">
        <v>43769</v>
      </c>
      <c r="B722">
        <v>22.2803</v>
      </c>
    </row>
    <row r="723" spans="1:2" x14ac:dyDescent="0.25">
      <c r="A723" s="8">
        <v>43798</v>
      </c>
      <c r="B723">
        <v>23.611699999999999</v>
      </c>
    </row>
    <row r="724" spans="1:2" x14ac:dyDescent="0.25">
      <c r="A724" s="8">
        <v>43830</v>
      </c>
      <c r="B724">
        <v>24.9145</v>
      </c>
    </row>
    <row r="725" spans="1:2" x14ac:dyDescent="0.25">
      <c r="A725" s="8">
        <v>43861</v>
      </c>
      <c r="B725">
        <v>25.7758</v>
      </c>
    </row>
    <row r="726" spans="1:2" x14ac:dyDescent="0.25">
      <c r="A726" s="8">
        <v>43889</v>
      </c>
      <c r="B726">
        <v>24.351900000000001</v>
      </c>
    </row>
    <row r="727" spans="1:2" x14ac:dyDescent="0.25">
      <c r="A727" s="8">
        <v>43921</v>
      </c>
      <c r="B727">
        <v>22.363199999999999</v>
      </c>
    </row>
    <row r="728" spans="1:2" x14ac:dyDescent="0.25">
      <c r="A728" s="8">
        <v>43951</v>
      </c>
      <c r="B728">
        <v>23.694800000000001</v>
      </c>
    </row>
    <row r="729" spans="1:2" x14ac:dyDescent="0.25">
      <c r="A729" s="8">
        <v>43980</v>
      </c>
      <c r="B729">
        <v>25.622699999999998</v>
      </c>
    </row>
    <row r="730" spans="1:2" x14ac:dyDescent="0.25">
      <c r="A730" s="8">
        <v>44012</v>
      </c>
      <c r="B730">
        <v>27.432300000000001</v>
      </c>
    </row>
    <row r="731" spans="1:2" x14ac:dyDescent="0.25">
      <c r="A731" s="8">
        <v>44043</v>
      </c>
      <c r="B731">
        <v>28.168900000000001</v>
      </c>
    </row>
    <row r="732" spans="1:2" x14ac:dyDescent="0.25">
      <c r="A732" s="8">
        <v>44074</v>
      </c>
      <c r="B732">
        <v>31.4861</v>
      </c>
    </row>
    <row r="733" spans="1:2" x14ac:dyDescent="0.25">
      <c r="A733" s="8">
        <v>44104</v>
      </c>
      <c r="B733">
        <v>29.9588</v>
      </c>
    </row>
    <row r="734" spans="1:2" x14ac:dyDescent="0.25">
      <c r="A734" s="8">
        <v>44134</v>
      </c>
      <c r="B734">
        <v>28.2959</v>
      </c>
    </row>
    <row r="735" spans="1:2" x14ac:dyDescent="0.25">
      <c r="A735" s="8">
        <v>44165</v>
      </c>
      <c r="B735">
        <v>31.390499999999999</v>
      </c>
    </row>
    <row r="736" spans="1:2" x14ac:dyDescent="0.25">
      <c r="A736" s="8">
        <v>44196</v>
      </c>
      <c r="B736">
        <v>33.317599999999999</v>
      </c>
    </row>
    <row r="737" spans="1:2" x14ac:dyDescent="0.25">
      <c r="A737" s="8">
        <v>44225</v>
      </c>
      <c r="B737">
        <v>32.296399999999998</v>
      </c>
    </row>
    <row r="738" spans="1:2" x14ac:dyDescent="0.25">
      <c r="A738" s="8">
        <v>44253</v>
      </c>
      <c r="B738">
        <v>33.379600000000003</v>
      </c>
    </row>
    <row r="739" spans="1:2" x14ac:dyDescent="0.25">
      <c r="A739" s="8">
        <v>44286</v>
      </c>
      <c r="B739">
        <v>34.0899</v>
      </c>
    </row>
    <row r="740" spans="1:2" x14ac:dyDescent="0.25">
      <c r="A740" s="8">
        <v>44316</v>
      </c>
      <c r="B740">
        <v>26.569299999999998</v>
      </c>
    </row>
    <row r="741" spans="1:2" x14ac:dyDescent="0.25">
      <c r="A741" s="8">
        <v>44347</v>
      </c>
      <c r="B741">
        <v>26.158999999999999</v>
      </c>
    </row>
    <row r="742" spans="1:2" x14ac:dyDescent="0.25">
      <c r="A742" s="8">
        <v>44377</v>
      </c>
      <c r="B742">
        <v>27.958500000000001</v>
      </c>
    </row>
    <row r="743" spans="1:2" x14ac:dyDescent="0.25">
      <c r="A743" s="8">
        <v>44407</v>
      </c>
      <c r="B743">
        <v>27.949100000000001</v>
      </c>
    </row>
    <row r="744" spans="1:2" x14ac:dyDescent="0.25">
      <c r="A744" s="8">
        <v>44439</v>
      </c>
      <c r="B744">
        <v>29.002500000000001</v>
      </c>
    </row>
    <row r="745" spans="1:2" x14ac:dyDescent="0.25">
      <c r="A745" s="8">
        <v>44469</v>
      </c>
      <c r="B745">
        <v>27.430399999999999</v>
      </c>
    </row>
    <row r="746" spans="1:2" x14ac:dyDescent="0.25">
      <c r="A746" s="8">
        <v>44498</v>
      </c>
      <c r="B746">
        <v>29.476500000000001</v>
      </c>
    </row>
    <row r="747" spans="1:2" x14ac:dyDescent="0.25">
      <c r="A747" s="8">
        <v>44530</v>
      </c>
      <c r="B747">
        <v>30.7624</v>
      </c>
    </row>
    <row r="748" spans="1:2" x14ac:dyDescent="0.25">
      <c r="A748" s="8">
        <v>44561</v>
      </c>
      <c r="B748">
        <v>31.9635</v>
      </c>
    </row>
    <row r="749" spans="1:2" x14ac:dyDescent="0.25">
      <c r="A749" s="8">
        <v>44592</v>
      </c>
      <c r="B749">
        <v>29.809699999999999</v>
      </c>
    </row>
    <row r="750" spans="1:2" x14ac:dyDescent="0.25">
      <c r="A750" s="8">
        <v>44620</v>
      </c>
      <c r="B750">
        <v>28.9406</v>
      </c>
    </row>
    <row r="751" spans="1:2" x14ac:dyDescent="0.25">
      <c r="A751" s="8">
        <v>44651</v>
      </c>
      <c r="B751">
        <v>30.0688</v>
      </c>
    </row>
    <row r="752" spans="1:2" x14ac:dyDescent="0.25">
      <c r="A752" s="8">
        <v>44680</v>
      </c>
      <c r="B752">
        <v>22.4682</v>
      </c>
    </row>
    <row r="753" spans="1:2" x14ac:dyDescent="0.25">
      <c r="A753" s="8">
        <v>44712</v>
      </c>
      <c r="B753">
        <v>22.534600000000001</v>
      </c>
    </row>
    <row r="754" spans="1:2" x14ac:dyDescent="0.25">
      <c r="A754" s="8">
        <v>44742</v>
      </c>
      <c r="B754">
        <v>20.497</v>
      </c>
    </row>
    <row r="755" spans="1:2" x14ac:dyDescent="0.25">
      <c r="A755" s="8">
        <v>44771</v>
      </c>
      <c r="B755">
        <v>24.015799999999999</v>
      </c>
    </row>
    <row r="756" spans="1:2" x14ac:dyDescent="0.25">
      <c r="A756" s="8">
        <v>44804</v>
      </c>
      <c r="B756">
        <v>23.212399999999999</v>
      </c>
    </row>
    <row r="757" spans="1:2" x14ac:dyDescent="0.25">
      <c r="A757" s="8">
        <v>44834</v>
      </c>
      <c r="B757">
        <v>20.594200000000001</v>
      </c>
    </row>
    <row r="758" spans="1:2" x14ac:dyDescent="0.25">
      <c r="A758" s="8">
        <v>44865</v>
      </c>
      <c r="B758">
        <v>22.562100000000001</v>
      </c>
    </row>
    <row r="759" spans="1:2" x14ac:dyDescent="0.25">
      <c r="A759" s="8">
        <v>44895</v>
      </c>
      <c r="B759">
        <v>24.3567</v>
      </c>
    </row>
    <row r="760" spans="1:2" x14ac:dyDescent="0.25">
      <c r="A760" s="8">
        <v>44925</v>
      </c>
      <c r="B760">
        <v>22.457999999999998</v>
      </c>
    </row>
    <row r="761" spans="1:2" x14ac:dyDescent="0.25">
      <c r="A761" s="8">
        <v>44957</v>
      </c>
      <c r="B761">
        <v>24.9526</v>
      </c>
    </row>
    <row r="762" spans="1:2" x14ac:dyDescent="0.25">
      <c r="A762" s="8">
        <v>44985</v>
      </c>
      <c r="B762">
        <v>23.269400000000001</v>
      </c>
    </row>
    <row r="763" spans="1:2" x14ac:dyDescent="0.25">
      <c r="A763" s="8">
        <v>45016</v>
      </c>
      <c r="B763">
        <v>26.390899999999998</v>
      </c>
    </row>
    <row r="764" spans="1:2" x14ac:dyDescent="0.25">
      <c r="A764" s="8">
        <v>45044</v>
      </c>
      <c r="B764">
        <v>26.703299999999999</v>
      </c>
    </row>
    <row r="765" spans="1:2" x14ac:dyDescent="0.25">
      <c r="A765" s="8">
        <v>45077</v>
      </c>
      <c r="B765">
        <v>29.126000000000001</v>
      </c>
    </row>
    <row r="766" spans="1:2" x14ac:dyDescent="0.25">
      <c r="A766" s="8">
        <v>45107</v>
      </c>
      <c r="B766">
        <v>31.23</v>
      </c>
    </row>
    <row r="767" spans="1:2" x14ac:dyDescent="0.25">
      <c r="A767" s="8">
        <v>45138</v>
      </c>
      <c r="B767">
        <v>31.716799999999999</v>
      </c>
    </row>
    <row r="768" spans="1:2" x14ac:dyDescent="0.25">
      <c r="A768" s="8">
        <v>45169</v>
      </c>
      <c r="B768">
        <v>30.9986</v>
      </c>
    </row>
    <row r="769" spans="1:2" x14ac:dyDescent="0.25">
      <c r="A769" s="8">
        <v>45198</v>
      </c>
      <c r="B769">
        <v>28.8247</v>
      </c>
    </row>
    <row r="770" spans="1:2" x14ac:dyDescent="0.25">
      <c r="A770" s="8">
        <v>45230</v>
      </c>
      <c r="B770">
        <v>28.604900000000001</v>
      </c>
    </row>
    <row r="771" spans="1:2" x14ac:dyDescent="0.25">
      <c r="A771" s="8">
        <v>45260</v>
      </c>
      <c r="B771">
        <v>32.3506</v>
      </c>
    </row>
    <row r="772" spans="1:2" x14ac:dyDescent="0.25">
      <c r="A772" s="8">
        <v>45289</v>
      </c>
      <c r="B772">
        <v>33.703499999999998</v>
      </c>
    </row>
    <row r="773" spans="1:2" x14ac:dyDescent="0.25">
      <c r="A773" s="8">
        <v>45322</v>
      </c>
      <c r="B773">
        <v>35.275599999999997</v>
      </c>
    </row>
    <row r="774" spans="1:2" x14ac:dyDescent="0.25">
      <c r="A774" s="8">
        <v>45351</v>
      </c>
      <c r="B774">
        <v>37.596400000000003</v>
      </c>
    </row>
    <row r="775" spans="1:2" x14ac:dyDescent="0.25">
      <c r="A775" s="8">
        <v>45380</v>
      </c>
      <c r="B775">
        <v>38.539900000000003</v>
      </c>
    </row>
    <row r="776" spans="1:2" x14ac:dyDescent="0.25">
      <c r="A776" s="8">
        <v>45412</v>
      </c>
      <c r="B776">
        <v>36.448900000000002</v>
      </c>
    </row>
    <row r="777" spans="1:2" x14ac:dyDescent="0.25">
      <c r="A777" s="8">
        <v>45443</v>
      </c>
      <c r="B777">
        <v>30.736999999999998</v>
      </c>
    </row>
    <row r="778" spans="1:2" x14ac:dyDescent="0.25">
      <c r="A778" s="8">
        <v>45471</v>
      </c>
      <c r="B778">
        <v>33.788800000000002</v>
      </c>
    </row>
    <row r="779" spans="1:2" x14ac:dyDescent="0.25">
      <c r="A779" s="8">
        <v>45504</v>
      </c>
      <c r="B779">
        <v>33.115099999999998</v>
      </c>
    </row>
    <row r="780" spans="1:2" x14ac:dyDescent="0.25">
      <c r="A780" s="8">
        <v>45534</v>
      </c>
      <c r="B780">
        <v>33.781599999999997</v>
      </c>
    </row>
    <row r="781" spans="1:2" x14ac:dyDescent="0.25">
      <c r="A781" s="8">
        <v>45565</v>
      </c>
      <c r="B781">
        <v>34.654699999999998</v>
      </c>
    </row>
    <row r="782" spans="1:2" x14ac:dyDescent="0.25">
      <c r="A782" s="8">
        <v>45596</v>
      </c>
      <c r="B782">
        <v>34.3904</v>
      </c>
    </row>
    <row r="783" spans="1:2" x14ac:dyDescent="0.25">
      <c r="A783" s="8">
        <v>45625</v>
      </c>
      <c r="B783">
        <v>36.811500000000002</v>
      </c>
    </row>
    <row r="784" spans="1:2" x14ac:dyDescent="0.25">
      <c r="A784" s="8">
        <v>45657</v>
      </c>
      <c r="B784">
        <v>37.579099999999997</v>
      </c>
    </row>
    <row r="785" spans="1:2" x14ac:dyDescent="0.25">
      <c r="A785" s="8">
        <v>45688</v>
      </c>
      <c r="B785">
        <v>36.807099999999998</v>
      </c>
    </row>
    <row r="786" spans="1:2" x14ac:dyDescent="0.25">
      <c r="A786" s="8">
        <v>45716</v>
      </c>
      <c r="B786">
        <v>36.673499999999997</v>
      </c>
    </row>
    <row r="787" spans="1:2" x14ac:dyDescent="0.25">
      <c r="A787" s="8">
        <v>45747</v>
      </c>
      <c r="B787">
        <v>33.581499999999998</v>
      </c>
    </row>
    <row r="788" spans="1:2" x14ac:dyDescent="0.25">
      <c r="A788" s="8">
        <v>45777</v>
      </c>
      <c r="B788">
        <v>26.065100000000001</v>
      </c>
    </row>
    <row r="789" spans="1:2" x14ac:dyDescent="0.25">
      <c r="A789" s="8">
        <v>45807</v>
      </c>
      <c r="B789">
        <v>29.435400000000001</v>
      </c>
    </row>
    <row r="790" spans="1:2" x14ac:dyDescent="0.25">
      <c r="A790" s="8">
        <v>45838</v>
      </c>
      <c r="B790">
        <v>32.417999999999999</v>
      </c>
    </row>
    <row r="791" spans="1:2" x14ac:dyDescent="0.25">
      <c r="A791" s="8">
        <v>45869</v>
      </c>
      <c r="B791">
        <v>33.766399999999997</v>
      </c>
    </row>
    <row r="792" spans="1:2" x14ac:dyDescent="0.25">
      <c r="A792" s="8">
        <v>45898</v>
      </c>
      <c r="B792">
        <v>33.706600000000002</v>
      </c>
    </row>
    <row r="793" spans="1:2" x14ac:dyDescent="0.25">
      <c r="A793" s="8">
        <v>45930</v>
      </c>
      <c r="B793">
        <v>36.531500000000001</v>
      </c>
    </row>
    <row r="794" spans="1:2" x14ac:dyDescent="0.25">
      <c r="A794" s="8">
        <v>45961</v>
      </c>
      <c r="B794">
        <v>38.4208</v>
      </c>
    </row>
    <row r="795" spans="1:2" x14ac:dyDescent="0.25">
      <c r="A795" s="8">
        <v>45989</v>
      </c>
      <c r="B795">
        <v>36.592399999999998</v>
      </c>
    </row>
    <row r="796" spans="1:2" x14ac:dyDescent="0.25">
      <c r="A796" s="8">
        <v>46022</v>
      </c>
      <c r="B796">
        <v>36.265999999999998</v>
      </c>
    </row>
    <row r="797" spans="1:2" x14ac:dyDescent="0.25">
      <c r="A797" s="8">
        <v>46052</v>
      </c>
      <c r="B797">
        <v>35.600900000000003</v>
      </c>
    </row>
    <row r="811" spans="1:4" x14ac:dyDescent="0.25">
      <c r="A811" s="6" t="s">
        <v>323</v>
      </c>
      <c r="B811" s="6" t="s">
        <v>324</v>
      </c>
      <c r="C811" s="6" t="s">
        <v>325</v>
      </c>
      <c r="D811" s="6" t="s">
        <v>307</v>
      </c>
    </row>
    <row r="812" spans="1:4" x14ac:dyDescent="0.25">
      <c r="A812" s="8">
        <f ca="1">_xll.BDH("S5HLTH Index","BEST_PE_RATIO","02/01/2016",TODAY(),"Per=M","cols=2;rows=121")</f>
        <v>42398</v>
      </c>
      <c r="B812">
        <v>17.1174</v>
      </c>
    </row>
    <row r="813" spans="1:4" x14ac:dyDescent="0.25">
      <c r="A813" s="8">
        <v>42429</v>
      </c>
      <c r="B813">
        <v>14.8713</v>
      </c>
    </row>
    <row r="814" spans="1:4" x14ac:dyDescent="0.25">
      <c r="A814" s="8">
        <v>42460</v>
      </c>
      <c r="B814">
        <v>15.251200000000001</v>
      </c>
    </row>
    <row r="815" spans="1:4" x14ac:dyDescent="0.25">
      <c r="A815" s="8">
        <v>42489</v>
      </c>
      <c r="B815">
        <v>15.7439</v>
      </c>
    </row>
    <row r="816" spans="1:4" x14ac:dyDescent="0.25">
      <c r="A816" s="8">
        <v>42521</v>
      </c>
      <c r="B816">
        <v>16.045300000000001</v>
      </c>
    </row>
    <row r="817" spans="1:2" x14ac:dyDescent="0.25">
      <c r="A817" s="8">
        <v>42551</v>
      </c>
      <c r="B817">
        <v>16.0563</v>
      </c>
    </row>
    <row r="818" spans="1:2" x14ac:dyDescent="0.25">
      <c r="A818" s="8">
        <v>42580</v>
      </c>
      <c r="B818">
        <v>16.932200000000002</v>
      </c>
    </row>
    <row r="819" spans="1:2" x14ac:dyDescent="0.25">
      <c r="A819" s="8">
        <v>42613</v>
      </c>
      <c r="B819">
        <v>16.445900000000002</v>
      </c>
    </row>
    <row r="820" spans="1:2" x14ac:dyDescent="0.25">
      <c r="A820" s="8">
        <v>42643</v>
      </c>
      <c r="B820">
        <v>16.390699999999999</v>
      </c>
    </row>
    <row r="821" spans="1:2" x14ac:dyDescent="0.25">
      <c r="A821" s="8">
        <v>42674</v>
      </c>
      <c r="B821">
        <v>15.2643</v>
      </c>
    </row>
    <row r="822" spans="1:2" x14ac:dyDescent="0.25">
      <c r="A822" s="8">
        <v>42704</v>
      </c>
      <c r="B822">
        <v>15.6751</v>
      </c>
    </row>
    <row r="823" spans="1:2" x14ac:dyDescent="0.25">
      <c r="A823" s="8">
        <v>42734</v>
      </c>
      <c r="B823">
        <v>15.7517</v>
      </c>
    </row>
    <row r="824" spans="1:2" x14ac:dyDescent="0.25">
      <c r="A824" s="8">
        <v>42766</v>
      </c>
      <c r="B824">
        <v>17.003599999999999</v>
      </c>
    </row>
    <row r="825" spans="1:2" x14ac:dyDescent="0.25">
      <c r="A825" s="8">
        <v>42794</v>
      </c>
      <c r="B825">
        <v>16.299499999999998</v>
      </c>
    </row>
    <row r="826" spans="1:2" x14ac:dyDescent="0.25">
      <c r="A826" s="8">
        <v>42825</v>
      </c>
      <c r="B826">
        <v>16.162500000000001</v>
      </c>
    </row>
    <row r="827" spans="1:2" x14ac:dyDescent="0.25">
      <c r="A827" s="8">
        <v>42853</v>
      </c>
      <c r="B827">
        <v>16.327000000000002</v>
      </c>
    </row>
    <row r="828" spans="1:2" x14ac:dyDescent="0.25">
      <c r="A828" s="8">
        <v>42886</v>
      </c>
      <c r="B828">
        <v>16.480499999999999</v>
      </c>
    </row>
    <row r="829" spans="1:2" x14ac:dyDescent="0.25">
      <c r="A829" s="8">
        <v>42916</v>
      </c>
      <c r="B829">
        <v>17.2392</v>
      </c>
    </row>
    <row r="830" spans="1:2" x14ac:dyDescent="0.25">
      <c r="A830" s="8">
        <v>42947</v>
      </c>
      <c r="B830">
        <v>17.3111</v>
      </c>
    </row>
    <row r="831" spans="1:2" x14ac:dyDescent="0.25">
      <c r="A831" s="8">
        <v>42978</v>
      </c>
      <c r="B831">
        <v>17.5794</v>
      </c>
    </row>
    <row r="832" spans="1:2" x14ac:dyDescent="0.25">
      <c r="A832" s="8">
        <v>43007</v>
      </c>
      <c r="B832">
        <v>17.7181</v>
      </c>
    </row>
    <row r="833" spans="1:2" x14ac:dyDescent="0.25">
      <c r="A833" s="8">
        <v>43039</v>
      </c>
      <c r="B833">
        <v>17.607500000000002</v>
      </c>
    </row>
    <row r="834" spans="1:2" x14ac:dyDescent="0.25">
      <c r="A834" s="8">
        <v>43069</v>
      </c>
      <c r="B834">
        <v>18.090800000000002</v>
      </c>
    </row>
    <row r="835" spans="1:2" x14ac:dyDescent="0.25">
      <c r="A835" s="8">
        <v>43098</v>
      </c>
      <c r="B835">
        <v>17.901199999999999</v>
      </c>
    </row>
    <row r="836" spans="1:2" x14ac:dyDescent="0.25">
      <c r="A836" s="8">
        <v>43131</v>
      </c>
      <c r="B836">
        <v>20.334099999999999</v>
      </c>
    </row>
    <row r="837" spans="1:2" x14ac:dyDescent="0.25">
      <c r="A837" s="8">
        <v>43159</v>
      </c>
      <c r="B837">
        <v>16.0961</v>
      </c>
    </row>
    <row r="838" spans="1:2" x14ac:dyDescent="0.25">
      <c r="A838" s="8">
        <v>43189</v>
      </c>
      <c r="B838">
        <v>15.61</v>
      </c>
    </row>
    <row r="839" spans="1:2" x14ac:dyDescent="0.25">
      <c r="A839" s="8">
        <v>43220</v>
      </c>
      <c r="B839">
        <v>15.726000000000001</v>
      </c>
    </row>
    <row r="840" spans="1:2" x14ac:dyDescent="0.25">
      <c r="A840" s="8">
        <v>43251</v>
      </c>
      <c r="B840">
        <v>15.7439</v>
      </c>
    </row>
    <row r="841" spans="1:2" x14ac:dyDescent="0.25">
      <c r="A841" s="8">
        <v>43280</v>
      </c>
      <c r="B841">
        <v>15.8604</v>
      </c>
    </row>
    <row r="842" spans="1:2" x14ac:dyDescent="0.25">
      <c r="A842" s="8">
        <v>43312</v>
      </c>
      <c r="B842">
        <v>16.7805</v>
      </c>
    </row>
    <row r="843" spans="1:2" x14ac:dyDescent="0.25">
      <c r="A843" s="8">
        <v>43343</v>
      </c>
      <c r="B843">
        <v>17.4941</v>
      </c>
    </row>
    <row r="844" spans="1:2" x14ac:dyDescent="0.25">
      <c r="A844" s="8">
        <v>43371</v>
      </c>
      <c r="B844">
        <v>17.974699999999999</v>
      </c>
    </row>
    <row r="845" spans="1:2" x14ac:dyDescent="0.25">
      <c r="A845" s="8">
        <v>43404</v>
      </c>
      <c r="B845">
        <v>16.725300000000001</v>
      </c>
    </row>
    <row r="846" spans="1:2" x14ac:dyDescent="0.25">
      <c r="A846" s="8">
        <v>43434</v>
      </c>
      <c r="B846">
        <v>17.888999999999999</v>
      </c>
    </row>
    <row r="847" spans="1:2" x14ac:dyDescent="0.25">
      <c r="A847" s="8">
        <v>43465</v>
      </c>
      <c r="B847">
        <v>16.6053</v>
      </c>
    </row>
    <row r="848" spans="1:2" x14ac:dyDescent="0.25">
      <c r="A848" s="8">
        <v>43496</v>
      </c>
      <c r="B848">
        <v>19.2819</v>
      </c>
    </row>
    <row r="849" spans="1:2" x14ac:dyDescent="0.25">
      <c r="A849" s="8">
        <v>43524</v>
      </c>
      <c r="B849">
        <v>16.019400000000001</v>
      </c>
    </row>
    <row r="850" spans="1:2" x14ac:dyDescent="0.25">
      <c r="A850" s="8">
        <v>43553</v>
      </c>
      <c r="B850">
        <v>15.9794</v>
      </c>
    </row>
    <row r="851" spans="1:2" x14ac:dyDescent="0.25">
      <c r="A851" s="8">
        <v>43585</v>
      </c>
      <c r="B851">
        <v>15.5885</v>
      </c>
    </row>
    <row r="852" spans="1:2" x14ac:dyDescent="0.25">
      <c r="A852" s="8">
        <v>43616</v>
      </c>
      <c r="B852">
        <v>15.2562</v>
      </c>
    </row>
    <row r="853" spans="1:2" x14ac:dyDescent="0.25">
      <c r="A853" s="8">
        <v>43644</v>
      </c>
      <c r="B853">
        <v>16.177499999999998</v>
      </c>
    </row>
    <row r="854" spans="1:2" x14ac:dyDescent="0.25">
      <c r="A854" s="8">
        <v>43677</v>
      </c>
      <c r="B854">
        <v>15.8668</v>
      </c>
    </row>
    <row r="855" spans="1:2" x14ac:dyDescent="0.25">
      <c r="A855" s="8">
        <v>43707</v>
      </c>
      <c r="B855">
        <v>15.744300000000001</v>
      </c>
    </row>
    <row r="856" spans="1:2" x14ac:dyDescent="0.25">
      <c r="A856" s="8">
        <v>43738</v>
      </c>
      <c r="B856">
        <v>15.632099999999999</v>
      </c>
    </row>
    <row r="857" spans="1:2" x14ac:dyDescent="0.25">
      <c r="A857" s="8">
        <v>43769</v>
      </c>
      <c r="B857">
        <v>16.511800000000001</v>
      </c>
    </row>
    <row r="858" spans="1:2" x14ac:dyDescent="0.25">
      <c r="A858" s="8">
        <v>43798</v>
      </c>
      <c r="B858">
        <v>17.811</v>
      </c>
    </row>
    <row r="859" spans="1:2" x14ac:dyDescent="0.25">
      <c r="A859" s="8">
        <v>43830</v>
      </c>
      <c r="B859">
        <v>18.406500000000001</v>
      </c>
    </row>
    <row r="860" spans="1:2" x14ac:dyDescent="0.25">
      <c r="A860" s="8">
        <v>43861</v>
      </c>
      <c r="B860">
        <v>19.015699999999999</v>
      </c>
    </row>
    <row r="861" spans="1:2" x14ac:dyDescent="0.25">
      <c r="A861" s="8">
        <v>43889</v>
      </c>
      <c r="B861">
        <v>14.7963</v>
      </c>
    </row>
    <row r="862" spans="1:2" x14ac:dyDescent="0.25">
      <c r="A862" s="8">
        <v>43921</v>
      </c>
      <c r="B862">
        <v>14.5341</v>
      </c>
    </row>
    <row r="863" spans="1:2" x14ac:dyDescent="0.25">
      <c r="A863" s="8">
        <v>43951</v>
      </c>
      <c r="B863">
        <v>17.417899999999999</v>
      </c>
    </row>
    <row r="864" spans="1:2" x14ac:dyDescent="0.25">
      <c r="A864" s="8">
        <v>43980</v>
      </c>
      <c r="B864">
        <v>18.587800000000001</v>
      </c>
    </row>
    <row r="865" spans="1:2" x14ac:dyDescent="0.25">
      <c r="A865" s="8">
        <v>44012</v>
      </c>
      <c r="B865">
        <v>17.935500000000001</v>
      </c>
    </row>
    <row r="866" spans="1:2" x14ac:dyDescent="0.25">
      <c r="A866" s="8">
        <v>44043</v>
      </c>
      <c r="B866">
        <v>18.2987</v>
      </c>
    </row>
    <row r="867" spans="1:2" x14ac:dyDescent="0.25">
      <c r="A867" s="8">
        <v>44074</v>
      </c>
      <c r="B867">
        <v>18.561900000000001</v>
      </c>
    </row>
    <row r="868" spans="1:2" x14ac:dyDescent="0.25">
      <c r="A868" s="8">
        <v>44104</v>
      </c>
      <c r="B868">
        <v>18.170400000000001</v>
      </c>
    </row>
    <row r="869" spans="1:2" x14ac:dyDescent="0.25">
      <c r="A869" s="8">
        <v>44134</v>
      </c>
      <c r="B869">
        <v>17.209900000000001</v>
      </c>
    </row>
    <row r="870" spans="1:2" x14ac:dyDescent="0.25">
      <c r="A870" s="8">
        <v>44165</v>
      </c>
      <c r="B870">
        <v>18.215699999999998</v>
      </c>
    </row>
    <row r="871" spans="1:2" x14ac:dyDescent="0.25">
      <c r="A871" s="8">
        <v>44196</v>
      </c>
      <c r="B871">
        <v>18.846499999999999</v>
      </c>
    </row>
    <row r="872" spans="1:2" x14ac:dyDescent="0.25">
      <c r="A872" s="8">
        <v>44225</v>
      </c>
      <c r="B872">
        <v>19.447299999999998</v>
      </c>
    </row>
    <row r="873" spans="1:2" x14ac:dyDescent="0.25">
      <c r="A873" s="8">
        <v>44253</v>
      </c>
      <c r="B873">
        <v>15.841699999999999</v>
      </c>
    </row>
    <row r="874" spans="1:2" x14ac:dyDescent="0.25">
      <c r="A874" s="8">
        <v>44286</v>
      </c>
      <c r="B874">
        <v>16.369900000000001</v>
      </c>
    </row>
    <row r="875" spans="1:2" x14ac:dyDescent="0.25">
      <c r="A875" s="8">
        <v>44316</v>
      </c>
      <c r="B875">
        <v>16.9267</v>
      </c>
    </row>
    <row r="876" spans="1:2" x14ac:dyDescent="0.25">
      <c r="A876" s="8">
        <v>44347</v>
      </c>
      <c r="B876">
        <v>17.097200000000001</v>
      </c>
    </row>
    <row r="877" spans="1:2" x14ac:dyDescent="0.25">
      <c r="A877" s="8">
        <v>44377</v>
      </c>
      <c r="B877">
        <v>17.507300000000001</v>
      </c>
    </row>
    <row r="878" spans="1:2" x14ac:dyDescent="0.25">
      <c r="A878" s="8">
        <v>44407</v>
      </c>
      <c r="B878">
        <v>17.989999999999998</v>
      </c>
    </row>
    <row r="879" spans="1:2" x14ac:dyDescent="0.25">
      <c r="A879" s="8">
        <v>44439</v>
      </c>
      <c r="B879">
        <v>18.301600000000001</v>
      </c>
    </row>
    <row r="880" spans="1:2" x14ac:dyDescent="0.25">
      <c r="A880" s="8">
        <v>44469</v>
      </c>
      <c r="B880">
        <v>17.172599999999999</v>
      </c>
    </row>
    <row r="881" spans="1:2" x14ac:dyDescent="0.25">
      <c r="A881" s="8">
        <v>44498</v>
      </c>
      <c r="B881">
        <v>17.7454</v>
      </c>
    </row>
    <row r="882" spans="1:2" x14ac:dyDescent="0.25">
      <c r="A882" s="8">
        <v>44530</v>
      </c>
      <c r="B882">
        <v>17.1812</v>
      </c>
    </row>
    <row r="883" spans="1:2" x14ac:dyDescent="0.25">
      <c r="A883" s="8">
        <v>44561</v>
      </c>
      <c r="B883">
        <v>18.6891</v>
      </c>
    </row>
    <row r="884" spans="1:2" x14ac:dyDescent="0.25">
      <c r="A884" s="8">
        <v>44592</v>
      </c>
      <c r="B884">
        <v>17.688099999999999</v>
      </c>
    </row>
    <row r="885" spans="1:2" x14ac:dyDescent="0.25">
      <c r="A885" s="8">
        <v>44620</v>
      </c>
      <c r="B885">
        <v>15.535299999999999</v>
      </c>
    </row>
    <row r="886" spans="1:2" x14ac:dyDescent="0.25">
      <c r="A886" s="8">
        <v>44651</v>
      </c>
      <c r="B886">
        <v>16.3889</v>
      </c>
    </row>
    <row r="887" spans="1:2" x14ac:dyDescent="0.25">
      <c r="A887" s="8">
        <v>44680</v>
      </c>
      <c r="B887">
        <v>15.7845</v>
      </c>
    </row>
    <row r="888" spans="1:2" x14ac:dyDescent="0.25">
      <c r="A888" s="8">
        <v>44712</v>
      </c>
      <c r="B888">
        <v>16.176200000000001</v>
      </c>
    </row>
    <row r="889" spans="1:2" x14ac:dyDescent="0.25">
      <c r="A889" s="8">
        <v>44742</v>
      </c>
      <c r="B889">
        <v>15.6211</v>
      </c>
    </row>
    <row r="890" spans="1:2" x14ac:dyDescent="0.25">
      <c r="A890" s="8">
        <v>44771</v>
      </c>
      <c r="B890">
        <v>16.265799999999999</v>
      </c>
    </row>
    <row r="891" spans="1:2" x14ac:dyDescent="0.25">
      <c r="A891" s="8">
        <v>44804</v>
      </c>
      <c r="B891">
        <v>15.4758</v>
      </c>
    </row>
    <row r="892" spans="1:2" x14ac:dyDescent="0.25">
      <c r="A892" s="8">
        <v>44834</v>
      </c>
      <c r="B892">
        <v>15.0321</v>
      </c>
    </row>
    <row r="893" spans="1:2" x14ac:dyDescent="0.25">
      <c r="A893" s="8">
        <v>44865</v>
      </c>
      <c r="B893">
        <v>16.532399999999999</v>
      </c>
    </row>
    <row r="894" spans="1:2" x14ac:dyDescent="0.25">
      <c r="A894" s="8">
        <v>44895</v>
      </c>
      <c r="B894">
        <v>17.605399999999999</v>
      </c>
    </row>
    <row r="895" spans="1:2" x14ac:dyDescent="0.25">
      <c r="A895" s="8">
        <v>44925</v>
      </c>
      <c r="B895">
        <v>17.146699999999999</v>
      </c>
    </row>
    <row r="896" spans="1:2" x14ac:dyDescent="0.25">
      <c r="A896" s="8">
        <v>44957</v>
      </c>
      <c r="B896">
        <v>17.365300000000001</v>
      </c>
    </row>
    <row r="897" spans="1:2" x14ac:dyDescent="0.25">
      <c r="A897" s="8">
        <v>44985</v>
      </c>
      <c r="B897">
        <v>16.963899999999999</v>
      </c>
    </row>
    <row r="898" spans="1:2" x14ac:dyDescent="0.25">
      <c r="A898" s="8">
        <v>45016</v>
      </c>
      <c r="B898">
        <v>17.481000000000002</v>
      </c>
    </row>
    <row r="899" spans="1:2" x14ac:dyDescent="0.25">
      <c r="A899" s="8">
        <v>45044</v>
      </c>
      <c r="B899">
        <v>18.066199999999998</v>
      </c>
    </row>
    <row r="900" spans="1:2" x14ac:dyDescent="0.25">
      <c r="A900" s="8">
        <v>45077</v>
      </c>
      <c r="B900">
        <v>17.395099999999999</v>
      </c>
    </row>
    <row r="901" spans="1:2" x14ac:dyDescent="0.25">
      <c r="A901" s="8">
        <v>45107</v>
      </c>
      <c r="B901">
        <v>18.097100000000001</v>
      </c>
    </row>
    <row r="902" spans="1:2" x14ac:dyDescent="0.25">
      <c r="A902" s="8">
        <v>45138</v>
      </c>
      <c r="B902">
        <v>19.2121</v>
      </c>
    </row>
    <row r="903" spans="1:2" x14ac:dyDescent="0.25">
      <c r="A903" s="8">
        <v>45169</v>
      </c>
      <c r="B903">
        <v>19.063500000000001</v>
      </c>
    </row>
    <row r="904" spans="1:2" x14ac:dyDescent="0.25">
      <c r="A904" s="8">
        <v>45198</v>
      </c>
      <c r="B904">
        <v>18.497599999999998</v>
      </c>
    </row>
    <row r="905" spans="1:2" x14ac:dyDescent="0.25">
      <c r="A905" s="8">
        <v>45230</v>
      </c>
      <c r="B905">
        <v>18.9831</v>
      </c>
    </row>
    <row r="906" spans="1:2" x14ac:dyDescent="0.25">
      <c r="A906" s="8">
        <v>45260</v>
      </c>
      <c r="B906">
        <v>20.436599999999999</v>
      </c>
    </row>
    <row r="907" spans="1:2" x14ac:dyDescent="0.25">
      <c r="A907" s="8">
        <v>45289</v>
      </c>
      <c r="B907">
        <v>21.3505</v>
      </c>
    </row>
    <row r="908" spans="1:2" x14ac:dyDescent="0.25">
      <c r="A908" s="8">
        <v>45322</v>
      </c>
      <c r="B908">
        <v>23.043099999999999</v>
      </c>
    </row>
    <row r="909" spans="1:2" x14ac:dyDescent="0.25">
      <c r="A909" s="8">
        <v>45351</v>
      </c>
      <c r="B909">
        <v>19.297699999999999</v>
      </c>
    </row>
    <row r="910" spans="1:2" x14ac:dyDescent="0.25">
      <c r="A910" s="8">
        <v>45380</v>
      </c>
      <c r="B910">
        <v>19.693100000000001</v>
      </c>
    </row>
    <row r="911" spans="1:2" x14ac:dyDescent="0.25">
      <c r="A911" s="8">
        <v>45412</v>
      </c>
      <c r="B911">
        <v>19.854700000000001</v>
      </c>
    </row>
    <row r="912" spans="1:2" x14ac:dyDescent="0.25">
      <c r="A912" s="8">
        <v>45443</v>
      </c>
      <c r="B912">
        <v>20.5244</v>
      </c>
    </row>
    <row r="913" spans="1:2" x14ac:dyDescent="0.25">
      <c r="A913" s="8">
        <v>45471</v>
      </c>
      <c r="B913">
        <v>20.7744</v>
      </c>
    </row>
    <row r="914" spans="1:2" x14ac:dyDescent="0.25">
      <c r="A914" s="8">
        <v>45504</v>
      </c>
      <c r="B914">
        <v>21.9223</v>
      </c>
    </row>
    <row r="915" spans="1:2" x14ac:dyDescent="0.25">
      <c r="A915" s="8">
        <v>45534</v>
      </c>
      <c r="B915">
        <v>22.946300000000001</v>
      </c>
    </row>
    <row r="916" spans="1:2" x14ac:dyDescent="0.25">
      <c r="A916" s="8">
        <v>45565</v>
      </c>
      <c r="B916">
        <v>22.504000000000001</v>
      </c>
    </row>
    <row r="917" spans="1:2" x14ac:dyDescent="0.25">
      <c r="A917" s="8">
        <v>45596</v>
      </c>
      <c r="B917">
        <v>21.834599999999998</v>
      </c>
    </row>
    <row r="918" spans="1:2" x14ac:dyDescent="0.25">
      <c r="A918" s="8">
        <v>45625</v>
      </c>
      <c r="B918">
        <v>21.800999999999998</v>
      </c>
    </row>
    <row r="919" spans="1:2" x14ac:dyDescent="0.25">
      <c r="A919" s="8">
        <v>45657</v>
      </c>
      <c r="B919">
        <v>20.336600000000001</v>
      </c>
    </row>
    <row r="920" spans="1:2" x14ac:dyDescent="0.25">
      <c r="A920" s="8">
        <v>45688</v>
      </c>
      <c r="B920">
        <v>22.0518</v>
      </c>
    </row>
    <row r="921" spans="1:2" x14ac:dyDescent="0.25">
      <c r="A921" s="8">
        <v>45716</v>
      </c>
      <c r="B921">
        <v>18.280200000000001</v>
      </c>
    </row>
    <row r="922" spans="1:2" x14ac:dyDescent="0.25">
      <c r="A922" s="8">
        <v>45747</v>
      </c>
      <c r="B922">
        <v>17.897400000000001</v>
      </c>
    </row>
    <row r="923" spans="1:2" x14ac:dyDescent="0.25">
      <c r="A923" s="8">
        <v>45777</v>
      </c>
      <c r="B923">
        <v>17.598500000000001</v>
      </c>
    </row>
    <row r="924" spans="1:2" x14ac:dyDescent="0.25">
      <c r="A924" s="8">
        <v>45807</v>
      </c>
      <c r="B924">
        <v>16.760100000000001</v>
      </c>
    </row>
    <row r="925" spans="1:2" x14ac:dyDescent="0.25">
      <c r="A925" s="8">
        <v>45838</v>
      </c>
      <c r="B925">
        <v>17.0991</v>
      </c>
    </row>
    <row r="926" spans="1:2" x14ac:dyDescent="0.25">
      <c r="A926" s="8">
        <v>45869</v>
      </c>
      <c r="B926">
        <v>17.085000000000001</v>
      </c>
    </row>
    <row r="927" spans="1:2" x14ac:dyDescent="0.25">
      <c r="A927" s="8">
        <v>45898</v>
      </c>
      <c r="B927">
        <v>17.936900000000001</v>
      </c>
    </row>
    <row r="928" spans="1:2" x14ac:dyDescent="0.25">
      <c r="A928" s="8">
        <v>45930</v>
      </c>
      <c r="B928">
        <v>18.204000000000001</v>
      </c>
    </row>
    <row r="929" spans="1:2" x14ac:dyDescent="0.25">
      <c r="A929" s="8">
        <v>45961</v>
      </c>
      <c r="B929">
        <v>18.991099999999999</v>
      </c>
    </row>
    <row r="930" spans="1:2" x14ac:dyDescent="0.25">
      <c r="A930" s="8">
        <v>45989</v>
      </c>
      <c r="B930">
        <v>20.597999999999999</v>
      </c>
    </row>
    <row r="931" spans="1:2" x14ac:dyDescent="0.25">
      <c r="A931" s="8">
        <v>46022</v>
      </c>
      <c r="B931">
        <v>20.2394</v>
      </c>
    </row>
    <row r="932" spans="1:2" x14ac:dyDescent="0.25">
      <c r="A932" s="8">
        <v>46052</v>
      </c>
      <c r="B932">
        <v>21.025500000000001</v>
      </c>
    </row>
    <row r="946" spans="1:4" x14ac:dyDescent="0.25">
      <c r="A946" s="6" t="s">
        <v>326</v>
      </c>
      <c r="B946" s="6" t="s">
        <v>327</v>
      </c>
      <c r="C946" s="6" t="s">
        <v>328</v>
      </c>
      <c r="D946" s="6" t="s">
        <v>307</v>
      </c>
    </row>
    <row r="947" spans="1:4" x14ac:dyDescent="0.25">
      <c r="A947" s="8">
        <f ca="1">_xll.BDH("S5FINL Index","BEST_PE_RATIO","02/01/2016",TODAY(),"Per=M","cols=2;rows=121")</f>
        <v>42398</v>
      </c>
      <c r="B947">
        <v>13.057600000000001</v>
      </c>
    </row>
    <row r="948" spans="1:4" x14ac:dyDescent="0.25">
      <c r="A948" s="8">
        <v>42429</v>
      </c>
      <c r="B948">
        <v>12.445</v>
      </c>
    </row>
    <row r="949" spans="1:4" x14ac:dyDescent="0.25">
      <c r="A949" s="8">
        <v>42460</v>
      </c>
      <c r="B949">
        <v>13.512499999999999</v>
      </c>
    </row>
    <row r="950" spans="1:4" x14ac:dyDescent="0.25">
      <c r="A950" s="8">
        <v>42489</v>
      </c>
      <c r="B950">
        <v>14.112500000000001</v>
      </c>
    </row>
    <row r="951" spans="1:4" x14ac:dyDescent="0.25">
      <c r="A951" s="8">
        <v>42521</v>
      </c>
      <c r="B951">
        <v>14.5336</v>
      </c>
    </row>
    <row r="952" spans="1:4" x14ac:dyDescent="0.25">
      <c r="A952" s="8">
        <v>42551</v>
      </c>
      <c r="B952">
        <v>14.0898</v>
      </c>
    </row>
    <row r="953" spans="1:4" x14ac:dyDescent="0.25">
      <c r="A953" s="8">
        <v>42580</v>
      </c>
      <c r="B953">
        <v>14.6015</v>
      </c>
    </row>
    <row r="954" spans="1:4" x14ac:dyDescent="0.25">
      <c r="A954" s="8">
        <v>42613</v>
      </c>
      <c r="B954">
        <v>15.434200000000001</v>
      </c>
    </row>
    <row r="955" spans="1:4" x14ac:dyDescent="0.25">
      <c r="A955" s="8">
        <v>42643</v>
      </c>
      <c r="B955">
        <v>13.396100000000001</v>
      </c>
    </row>
    <row r="956" spans="1:4" x14ac:dyDescent="0.25">
      <c r="A956" s="8">
        <v>42674</v>
      </c>
      <c r="B956">
        <v>13.3538</v>
      </c>
    </row>
    <row r="957" spans="1:4" x14ac:dyDescent="0.25">
      <c r="A957" s="8">
        <v>42704</v>
      </c>
      <c r="B957">
        <v>15.108000000000001</v>
      </c>
    </row>
    <row r="958" spans="1:4" x14ac:dyDescent="0.25">
      <c r="A958" s="8">
        <v>42734</v>
      </c>
      <c r="B958">
        <v>15.5366</v>
      </c>
    </row>
    <row r="959" spans="1:4" x14ac:dyDescent="0.25">
      <c r="A959" s="8">
        <v>42766</v>
      </c>
      <c r="B959">
        <v>15.3226</v>
      </c>
    </row>
    <row r="960" spans="1:4" x14ac:dyDescent="0.25">
      <c r="A960" s="8">
        <v>42794</v>
      </c>
      <c r="B960">
        <v>14.669700000000001</v>
      </c>
    </row>
    <row r="961" spans="1:2" x14ac:dyDescent="0.25">
      <c r="A961" s="8">
        <v>42825</v>
      </c>
      <c r="B961">
        <v>14.1812</v>
      </c>
    </row>
    <row r="962" spans="1:2" x14ac:dyDescent="0.25">
      <c r="A962" s="8">
        <v>42853</v>
      </c>
      <c r="B962">
        <v>13.968999999999999</v>
      </c>
    </row>
    <row r="963" spans="1:2" x14ac:dyDescent="0.25">
      <c r="A963" s="8">
        <v>42886</v>
      </c>
      <c r="B963">
        <v>13.9963</v>
      </c>
    </row>
    <row r="964" spans="1:2" x14ac:dyDescent="0.25">
      <c r="A964" s="8">
        <v>42916</v>
      </c>
      <c r="B964">
        <v>14.8927</v>
      </c>
    </row>
    <row r="965" spans="1:2" x14ac:dyDescent="0.25">
      <c r="A965" s="8">
        <v>42947</v>
      </c>
      <c r="B965">
        <v>14.7705</v>
      </c>
    </row>
    <row r="966" spans="1:2" x14ac:dyDescent="0.25">
      <c r="A966" s="8">
        <v>42978</v>
      </c>
      <c r="B966">
        <v>14.5297</v>
      </c>
    </row>
    <row r="967" spans="1:2" x14ac:dyDescent="0.25">
      <c r="A967" s="8">
        <v>43007</v>
      </c>
      <c r="B967">
        <v>15.394600000000001</v>
      </c>
    </row>
    <row r="968" spans="1:2" x14ac:dyDescent="0.25">
      <c r="A968" s="8">
        <v>43039</v>
      </c>
      <c r="B968">
        <v>16.055700000000002</v>
      </c>
    </row>
    <row r="969" spans="1:2" x14ac:dyDescent="0.25">
      <c r="A969" s="8">
        <v>43069</v>
      </c>
      <c r="B969">
        <v>16.7622</v>
      </c>
    </row>
    <row r="970" spans="1:2" x14ac:dyDescent="0.25">
      <c r="A970" s="8">
        <v>43098</v>
      </c>
      <c r="B970">
        <v>16.907900000000001</v>
      </c>
    </row>
    <row r="971" spans="1:2" x14ac:dyDescent="0.25">
      <c r="A971" s="8">
        <v>43131</v>
      </c>
      <c r="B971">
        <v>17.9544</v>
      </c>
    </row>
    <row r="972" spans="1:2" x14ac:dyDescent="0.25">
      <c r="A972" s="8">
        <v>43159</v>
      </c>
      <c r="B972">
        <v>14.0482</v>
      </c>
    </row>
    <row r="973" spans="1:2" x14ac:dyDescent="0.25">
      <c r="A973" s="8">
        <v>43189</v>
      </c>
      <c r="B973">
        <v>13.349</v>
      </c>
    </row>
    <row r="974" spans="1:2" x14ac:dyDescent="0.25">
      <c r="A974" s="8">
        <v>43220</v>
      </c>
      <c r="B974">
        <v>13.170199999999999</v>
      </c>
    </row>
    <row r="975" spans="1:2" x14ac:dyDescent="0.25">
      <c r="A975" s="8">
        <v>43251</v>
      </c>
      <c r="B975">
        <v>13.0197</v>
      </c>
    </row>
    <row r="976" spans="1:2" x14ac:dyDescent="0.25">
      <c r="A976" s="8">
        <v>43280</v>
      </c>
      <c r="B976">
        <v>12.712199999999999</v>
      </c>
    </row>
    <row r="977" spans="1:2" x14ac:dyDescent="0.25">
      <c r="A977" s="8">
        <v>43312</v>
      </c>
      <c r="B977">
        <v>13.2532</v>
      </c>
    </row>
    <row r="978" spans="1:2" x14ac:dyDescent="0.25">
      <c r="A978" s="8">
        <v>43343</v>
      </c>
      <c r="B978">
        <v>13.3752</v>
      </c>
    </row>
    <row r="979" spans="1:2" x14ac:dyDescent="0.25">
      <c r="A979" s="8">
        <v>43371</v>
      </c>
      <c r="B979">
        <v>12.9758</v>
      </c>
    </row>
    <row r="980" spans="1:2" x14ac:dyDescent="0.25">
      <c r="A980" s="8">
        <v>43404</v>
      </c>
      <c r="B980">
        <v>12.349600000000001</v>
      </c>
    </row>
    <row r="981" spans="1:2" x14ac:dyDescent="0.25">
      <c r="A981" s="8">
        <v>43434</v>
      </c>
      <c r="B981">
        <v>12.8484</v>
      </c>
    </row>
    <row r="982" spans="1:2" x14ac:dyDescent="0.25">
      <c r="A982" s="8">
        <v>43465</v>
      </c>
      <c r="B982">
        <v>11.4026</v>
      </c>
    </row>
    <row r="983" spans="1:2" x14ac:dyDescent="0.25">
      <c r="A983" s="8">
        <v>43496</v>
      </c>
      <c r="B983">
        <v>12.5063</v>
      </c>
    </row>
    <row r="984" spans="1:2" x14ac:dyDescent="0.25">
      <c r="A984" s="8">
        <v>43524</v>
      </c>
      <c r="B984">
        <v>12.2096</v>
      </c>
    </row>
    <row r="985" spans="1:2" x14ac:dyDescent="0.25">
      <c r="A985" s="8">
        <v>43553</v>
      </c>
      <c r="B985">
        <v>11.7295</v>
      </c>
    </row>
    <row r="986" spans="1:2" x14ac:dyDescent="0.25">
      <c r="A986" s="8">
        <v>43585</v>
      </c>
      <c r="B986">
        <v>12.793900000000001</v>
      </c>
    </row>
    <row r="987" spans="1:2" x14ac:dyDescent="0.25">
      <c r="A987" s="8">
        <v>43616</v>
      </c>
      <c r="B987">
        <v>11.827999999999999</v>
      </c>
    </row>
    <row r="988" spans="1:2" x14ac:dyDescent="0.25">
      <c r="A988" s="8">
        <v>43644</v>
      </c>
      <c r="B988">
        <v>12.606400000000001</v>
      </c>
    </row>
    <row r="989" spans="1:2" x14ac:dyDescent="0.25">
      <c r="A989" s="8">
        <v>43677</v>
      </c>
      <c r="B989">
        <v>12.9391</v>
      </c>
    </row>
    <row r="990" spans="1:2" x14ac:dyDescent="0.25">
      <c r="A990" s="8">
        <v>43707</v>
      </c>
      <c r="B990">
        <v>11.8399</v>
      </c>
    </row>
    <row r="991" spans="1:2" x14ac:dyDescent="0.25">
      <c r="A991" s="8">
        <v>43738</v>
      </c>
      <c r="B991">
        <v>12.289099999999999</v>
      </c>
    </row>
    <row r="992" spans="1:2" x14ac:dyDescent="0.25">
      <c r="A992" s="8">
        <v>43769</v>
      </c>
      <c r="B992">
        <v>12.575900000000001</v>
      </c>
    </row>
    <row r="993" spans="1:2" x14ac:dyDescent="0.25">
      <c r="A993" s="8">
        <v>43798</v>
      </c>
      <c r="B993">
        <v>13.738099999999999</v>
      </c>
    </row>
    <row r="994" spans="1:2" x14ac:dyDescent="0.25">
      <c r="A994" s="8">
        <v>43830</v>
      </c>
      <c r="B994">
        <v>14.039099999999999</v>
      </c>
    </row>
    <row r="995" spans="1:2" x14ac:dyDescent="0.25">
      <c r="A995" s="8">
        <v>43861</v>
      </c>
      <c r="B995">
        <v>13.5761</v>
      </c>
    </row>
    <row r="996" spans="1:2" x14ac:dyDescent="0.25">
      <c r="A996" s="8">
        <v>43889</v>
      </c>
      <c r="B996">
        <v>11.7791</v>
      </c>
    </row>
    <row r="997" spans="1:2" x14ac:dyDescent="0.25">
      <c r="A997" s="8">
        <v>43921</v>
      </c>
      <c r="B997">
        <v>10.4428</v>
      </c>
    </row>
    <row r="998" spans="1:2" x14ac:dyDescent="0.25">
      <c r="A998" s="8">
        <v>43951</v>
      </c>
      <c r="B998">
        <v>15.571</v>
      </c>
    </row>
    <row r="999" spans="1:2" x14ac:dyDescent="0.25">
      <c r="A999" s="8">
        <v>43980</v>
      </c>
      <c r="B999">
        <v>16.859100000000002</v>
      </c>
    </row>
    <row r="1000" spans="1:2" x14ac:dyDescent="0.25">
      <c r="A1000" s="8">
        <v>44012</v>
      </c>
      <c r="B1000">
        <v>16.535</v>
      </c>
    </row>
    <row r="1001" spans="1:2" x14ac:dyDescent="0.25">
      <c r="A1001" s="8">
        <v>44043</v>
      </c>
      <c r="B1001">
        <v>16.797799999999999</v>
      </c>
    </row>
    <row r="1002" spans="1:2" x14ac:dyDescent="0.25">
      <c r="A1002" s="8">
        <v>44074</v>
      </c>
      <c r="B1002">
        <v>17.710100000000001</v>
      </c>
    </row>
    <row r="1003" spans="1:2" x14ac:dyDescent="0.25">
      <c r="A1003" s="8">
        <v>44104</v>
      </c>
      <c r="B1003">
        <v>16.541799999999999</v>
      </c>
    </row>
    <row r="1004" spans="1:2" x14ac:dyDescent="0.25">
      <c r="A1004" s="8">
        <v>44134</v>
      </c>
      <c r="B1004">
        <v>14.965400000000001</v>
      </c>
    </row>
    <row r="1005" spans="1:2" x14ac:dyDescent="0.25">
      <c r="A1005" s="8">
        <v>44165</v>
      </c>
      <c r="B1005">
        <v>17.302900000000001</v>
      </c>
    </row>
    <row r="1006" spans="1:2" x14ac:dyDescent="0.25">
      <c r="A1006" s="8">
        <v>44196</v>
      </c>
      <c r="B1006">
        <v>18.207899999999999</v>
      </c>
    </row>
    <row r="1007" spans="1:2" x14ac:dyDescent="0.25">
      <c r="A1007" s="8">
        <v>44225</v>
      </c>
      <c r="B1007">
        <v>16.228400000000001</v>
      </c>
    </row>
    <row r="1008" spans="1:2" x14ac:dyDescent="0.25">
      <c r="A1008" s="8">
        <v>44253</v>
      </c>
      <c r="B1008">
        <v>15.0603</v>
      </c>
    </row>
    <row r="1009" spans="1:2" x14ac:dyDescent="0.25">
      <c r="A1009" s="8">
        <v>44286</v>
      </c>
      <c r="B1009">
        <v>15.53</v>
      </c>
    </row>
    <row r="1010" spans="1:2" x14ac:dyDescent="0.25">
      <c r="A1010" s="8">
        <v>44316</v>
      </c>
      <c r="B1010">
        <v>14.3818</v>
      </c>
    </row>
    <row r="1011" spans="1:2" x14ac:dyDescent="0.25">
      <c r="A1011" s="8">
        <v>44347</v>
      </c>
      <c r="B1011">
        <v>14.7227</v>
      </c>
    </row>
    <row r="1012" spans="1:2" x14ac:dyDescent="0.25">
      <c r="A1012" s="8">
        <v>44377</v>
      </c>
      <c r="B1012">
        <v>14.1836</v>
      </c>
    </row>
    <row r="1013" spans="1:2" x14ac:dyDescent="0.25">
      <c r="A1013" s="8">
        <v>44407</v>
      </c>
      <c r="B1013">
        <v>13.1355</v>
      </c>
    </row>
    <row r="1014" spans="1:2" x14ac:dyDescent="0.25">
      <c r="A1014" s="8">
        <v>44439</v>
      </c>
      <c r="B1014">
        <v>13.271100000000001</v>
      </c>
    </row>
    <row r="1015" spans="1:2" x14ac:dyDescent="0.25">
      <c r="A1015" s="8">
        <v>44469</v>
      </c>
      <c r="B1015">
        <v>13.2478</v>
      </c>
    </row>
    <row r="1016" spans="1:2" x14ac:dyDescent="0.25">
      <c r="A1016" s="8">
        <v>44498</v>
      </c>
      <c r="B1016">
        <v>13.6653</v>
      </c>
    </row>
    <row r="1017" spans="1:2" x14ac:dyDescent="0.25">
      <c r="A1017" s="8">
        <v>44530</v>
      </c>
      <c r="B1017">
        <v>12.865500000000001</v>
      </c>
    </row>
    <row r="1018" spans="1:2" x14ac:dyDescent="0.25">
      <c r="A1018" s="8">
        <v>44561</v>
      </c>
      <c r="B1018">
        <v>13.146800000000001</v>
      </c>
    </row>
    <row r="1019" spans="1:2" x14ac:dyDescent="0.25">
      <c r="A1019" s="8">
        <v>44592</v>
      </c>
      <c r="B1019">
        <v>12.9618</v>
      </c>
    </row>
    <row r="1020" spans="1:2" x14ac:dyDescent="0.25">
      <c r="A1020" s="8">
        <v>44620</v>
      </c>
      <c r="B1020">
        <v>14.745100000000001</v>
      </c>
    </row>
    <row r="1021" spans="1:2" x14ac:dyDescent="0.25">
      <c r="A1021" s="8">
        <v>44651</v>
      </c>
      <c r="B1021">
        <v>14.763199999999999</v>
      </c>
    </row>
    <row r="1022" spans="1:2" x14ac:dyDescent="0.25">
      <c r="A1022" s="8">
        <v>44680</v>
      </c>
      <c r="B1022">
        <v>13.1966</v>
      </c>
    </row>
    <row r="1023" spans="1:2" x14ac:dyDescent="0.25">
      <c r="A1023" s="8">
        <v>44712</v>
      </c>
      <c r="B1023">
        <v>13.4389</v>
      </c>
    </row>
    <row r="1024" spans="1:2" x14ac:dyDescent="0.25">
      <c r="A1024" s="8">
        <v>44742</v>
      </c>
      <c r="B1024">
        <v>12.063700000000001</v>
      </c>
    </row>
    <row r="1025" spans="1:2" x14ac:dyDescent="0.25">
      <c r="A1025" s="8">
        <v>44771</v>
      </c>
      <c r="B1025">
        <v>13.123100000000001</v>
      </c>
    </row>
    <row r="1026" spans="1:2" x14ac:dyDescent="0.25">
      <c r="A1026" s="8">
        <v>44804</v>
      </c>
      <c r="B1026">
        <v>12.719099999999999</v>
      </c>
    </row>
    <row r="1027" spans="1:2" x14ac:dyDescent="0.25">
      <c r="A1027" s="8">
        <v>44834</v>
      </c>
      <c r="B1027">
        <v>11.700699999999999</v>
      </c>
    </row>
    <row r="1028" spans="1:2" x14ac:dyDescent="0.25">
      <c r="A1028" s="8">
        <v>44865</v>
      </c>
      <c r="B1028">
        <v>13.316700000000001</v>
      </c>
    </row>
    <row r="1029" spans="1:2" x14ac:dyDescent="0.25">
      <c r="A1029" s="8">
        <v>44895</v>
      </c>
      <c r="B1029">
        <v>14.3322</v>
      </c>
    </row>
    <row r="1030" spans="1:2" x14ac:dyDescent="0.25">
      <c r="A1030" s="8">
        <v>44925</v>
      </c>
      <c r="B1030">
        <v>13.5367</v>
      </c>
    </row>
    <row r="1031" spans="1:2" x14ac:dyDescent="0.25">
      <c r="A1031" s="8">
        <v>44957</v>
      </c>
      <c r="B1031">
        <v>14.6774</v>
      </c>
    </row>
    <row r="1032" spans="1:2" x14ac:dyDescent="0.25">
      <c r="A1032" s="8">
        <v>44985</v>
      </c>
      <c r="B1032">
        <v>13.000299999999999</v>
      </c>
    </row>
    <row r="1033" spans="1:2" x14ac:dyDescent="0.25">
      <c r="A1033" s="8">
        <v>45016</v>
      </c>
      <c r="B1033">
        <v>13.4209</v>
      </c>
    </row>
    <row r="1034" spans="1:2" x14ac:dyDescent="0.25">
      <c r="A1034" s="8">
        <v>45044</v>
      </c>
      <c r="B1034">
        <v>13.6496</v>
      </c>
    </row>
    <row r="1035" spans="1:2" x14ac:dyDescent="0.25">
      <c r="A1035" s="8">
        <v>45077</v>
      </c>
      <c r="B1035">
        <v>12.7629</v>
      </c>
    </row>
    <row r="1036" spans="1:2" x14ac:dyDescent="0.25">
      <c r="A1036" s="8">
        <v>45107</v>
      </c>
      <c r="B1036">
        <v>13.6343</v>
      </c>
    </row>
    <row r="1037" spans="1:2" x14ac:dyDescent="0.25">
      <c r="A1037" s="8">
        <v>45138</v>
      </c>
      <c r="B1037">
        <v>14.520300000000001</v>
      </c>
    </row>
    <row r="1038" spans="1:2" x14ac:dyDescent="0.25">
      <c r="A1038" s="8">
        <v>45169</v>
      </c>
      <c r="B1038">
        <v>13.859299999999999</v>
      </c>
    </row>
    <row r="1039" spans="1:2" x14ac:dyDescent="0.25">
      <c r="A1039" s="8">
        <v>45198</v>
      </c>
      <c r="B1039">
        <v>13.7281</v>
      </c>
    </row>
    <row r="1040" spans="1:2" x14ac:dyDescent="0.25">
      <c r="A1040" s="8">
        <v>45230</v>
      </c>
      <c r="B1040">
        <v>13.257300000000001</v>
      </c>
    </row>
    <row r="1041" spans="1:2" x14ac:dyDescent="0.25">
      <c r="A1041" s="8">
        <v>45260</v>
      </c>
      <c r="B1041">
        <v>14.5328</v>
      </c>
    </row>
    <row r="1042" spans="1:2" x14ac:dyDescent="0.25">
      <c r="A1042" s="8">
        <v>45289</v>
      </c>
      <c r="B1042">
        <v>15.2616</v>
      </c>
    </row>
    <row r="1043" spans="1:2" x14ac:dyDescent="0.25">
      <c r="A1043" s="8">
        <v>45322</v>
      </c>
      <c r="B1043">
        <v>15.993399999999999</v>
      </c>
    </row>
    <row r="1044" spans="1:2" x14ac:dyDescent="0.25">
      <c r="A1044" s="8">
        <v>45351</v>
      </c>
      <c r="B1044">
        <v>15.669700000000001</v>
      </c>
    </row>
    <row r="1045" spans="1:2" x14ac:dyDescent="0.25">
      <c r="A1045" s="8">
        <v>45380</v>
      </c>
      <c r="B1045">
        <v>16.352499999999999</v>
      </c>
    </row>
    <row r="1046" spans="1:2" x14ac:dyDescent="0.25">
      <c r="A1046" s="8">
        <v>45412</v>
      </c>
      <c r="B1046">
        <v>15.216100000000001</v>
      </c>
    </row>
    <row r="1047" spans="1:2" x14ac:dyDescent="0.25">
      <c r="A1047" s="8">
        <v>45443</v>
      </c>
      <c r="B1047">
        <v>15.822100000000001</v>
      </c>
    </row>
    <row r="1048" spans="1:2" x14ac:dyDescent="0.25">
      <c r="A1048" s="8">
        <v>45471</v>
      </c>
      <c r="B1048">
        <v>15.7136</v>
      </c>
    </row>
    <row r="1049" spans="1:2" x14ac:dyDescent="0.25">
      <c r="A1049" s="8">
        <v>45504</v>
      </c>
      <c r="B1049">
        <v>16.397300000000001</v>
      </c>
    </row>
    <row r="1050" spans="1:2" x14ac:dyDescent="0.25">
      <c r="A1050" s="8">
        <v>45534</v>
      </c>
      <c r="B1050">
        <v>17.123699999999999</v>
      </c>
    </row>
    <row r="1051" spans="1:2" x14ac:dyDescent="0.25">
      <c r="A1051" s="8">
        <v>45565</v>
      </c>
      <c r="B1051">
        <v>17.011099999999999</v>
      </c>
    </row>
    <row r="1052" spans="1:2" x14ac:dyDescent="0.25">
      <c r="A1052" s="8">
        <v>45596</v>
      </c>
      <c r="B1052">
        <v>17.327200000000001</v>
      </c>
    </row>
    <row r="1053" spans="1:2" x14ac:dyDescent="0.25">
      <c r="A1053" s="8">
        <v>45625</v>
      </c>
      <c r="B1053">
        <v>18.8216</v>
      </c>
    </row>
    <row r="1054" spans="1:2" x14ac:dyDescent="0.25">
      <c r="A1054" s="8">
        <v>45657</v>
      </c>
      <c r="B1054">
        <v>17.769200000000001</v>
      </c>
    </row>
    <row r="1055" spans="1:2" x14ac:dyDescent="0.25">
      <c r="A1055" s="8">
        <v>45688</v>
      </c>
      <c r="B1055">
        <v>18.904900000000001</v>
      </c>
    </row>
    <row r="1056" spans="1:2" x14ac:dyDescent="0.25">
      <c r="A1056" s="8">
        <v>45716</v>
      </c>
      <c r="B1056">
        <v>17.6845</v>
      </c>
    </row>
    <row r="1057" spans="1:2" x14ac:dyDescent="0.25">
      <c r="A1057" s="8">
        <v>45747</v>
      </c>
      <c r="B1057">
        <v>16.95</v>
      </c>
    </row>
    <row r="1058" spans="1:2" x14ac:dyDescent="0.25">
      <c r="A1058" s="8">
        <v>45777</v>
      </c>
      <c r="B1058">
        <v>16.751300000000001</v>
      </c>
    </row>
    <row r="1059" spans="1:2" x14ac:dyDescent="0.25">
      <c r="A1059" s="8">
        <v>45807</v>
      </c>
      <c r="B1059">
        <v>17.693300000000001</v>
      </c>
    </row>
    <row r="1060" spans="1:2" x14ac:dyDescent="0.25">
      <c r="A1060" s="8">
        <v>45838</v>
      </c>
      <c r="B1060">
        <v>18.185700000000001</v>
      </c>
    </row>
    <row r="1061" spans="1:2" x14ac:dyDescent="0.25">
      <c r="A1061" s="8">
        <v>45869</v>
      </c>
      <c r="B1061">
        <v>17.683900000000001</v>
      </c>
    </row>
    <row r="1062" spans="1:2" x14ac:dyDescent="0.25">
      <c r="A1062" s="8">
        <v>45898</v>
      </c>
      <c r="B1062">
        <v>18.128</v>
      </c>
    </row>
    <row r="1063" spans="1:2" x14ac:dyDescent="0.25">
      <c r="A1063" s="8">
        <v>45930</v>
      </c>
      <c r="B1063">
        <v>18.1417</v>
      </c>
    </row>
    <row r="1064" spans="1:2" x14ac:dyDescent="0.25">
      <c r="A1064" s="8">
        <v>45961</v>
      </c>
      <c r="B1064">
        <v>17.2455</v>
      </c>
    </row>
    <row r="1065" spans="1:2" x14ac:dyDescent="0.25">
      <c r="A1065" s="8">
        <v>45989</v>
      </c>
      <c r="B1065">
        <v>17.3752</v>
      </c>
    </row>
    <row r="1066" spans="1:2" x14ac:dyDescent="0.25">
      <c r="A1066" s="8">
        <v>46022</v>
      </c>
      <c r="B1066">
        <v>17.8</v>
      </c>
    </row>
    <row r="1067" spans="1:2" x14ac:dyDescent="0.25">
      <c r="A1067" s="8">
        <v>46052</v>
      </c>
      <c r="B1067">
        <v>17.762699999999999</v>
      </c>
    </row>
    <row r="1081" spans="1:4" x14ac:dyDescent="0.25">
      <c r="A1081" s="6" t="s">
        <v>329</v>
      </c>
      <c r="B1081" s="6" t="s">
        <v>330</v>
      </c>
      <c r="C1081" s="6" t="s">
        <v>331</v>
      </c>
      <c r="D1081" s="6" t="s">
        <v>307</v>
      </c>
    </row>
    <row r="1082" spans="1:4" x14ac:dyDescent="0.25">
      <c r="A1082" s="8">
        <f ca="1">_xll.BDH("S5ENRS Index","BEST_PE_RATIO","02/01/2016",TODAY(),"Per=M","cols=2;rows=111")</f>
        <v>42398</v>
      </c>
      <c r="B1082">
        <v>25.039400000000001</v>
      </c>
    </row>
    <row r="1083" spans="1:4" x14ac:dyDescent="0.25">
      <c r="A1083" s="8">
        <v>42429</v>
      </c>
      <c r="B1083">
        <v>59.468200000000003</v>
      </c>
    </row>
    <row r="1084" spans="1:4" x14ac:dyDescent="0.25">
      <c r="A1084" s="8">
        <v>42460</v>
      </c>
      <c r="B1084">
        <v>77.679900000000004</v>
      </c>
    </row>
    <row r="1085" spans="1:4" x14ac:dyDescent="0.25">
      <c r="A1085" s="8">
        <v>42489</v>
      </c>
      <c r="B1085">
        <v>100.8205</v>
      </c>
    </row>
    <row r="1086" spans="1:4" x14ac:dyDescent="0.25">
      <c r="A1086" s="8">
        <v>42521</v>
      </c>
      <c r="B1086">
        <v>92.406099999999995</v>
      </c>
    </row>
    <row r="1087" spans="1:4" x14ac:dyDescent="0.25">
      <c r="A1087" s="8">
        <v>42551</v>
      </c>
      <c r="B1087">
        <v>97.384100000000004</v>
      </c>
    </row>
    <row r="1088" spans="1:4" x14ac:dyDescent="0.25">
      <c r="A1088" s="8">
        <v>42580</v>
      </c>
      <c r="B1088">
        <v>110.2499</v>
      </c>
    </row>
    <row r="1089" spans="1:2" x14ac:dyDescent="0.25">
      <c r="A1089" s="8">
        <v>42613</v>
      </c>
      <c r="B1089">
        <v>122.6152</v>
      </c>
    </row>
    <row r="1090" spans="1:2" x14ac:dyDescent="0.25">
      <c r="A1090" s="8">
        <v>42643</v>
      </c>
      <c r="B1090">
        <v>131.73990000000001</v>
      </c>
    </row>
    <row r="1091" spans="1:2" x14ac:dyDescent="0.25">
      <c r="A1091" s="8">
        <v>42674</v>
      </c>
      <c r="B1091">
        <v>131.1129</v>
      </c>
    </row>
    <row r="1092" spans="1:2" x14ac:dyDescent="0.25">
      <c r="A1092" s="8">
        <v>42704</v>
      </c>
      <c r="B1092">
        <v>138.60470000000001</v>
      </c>
    </row>
    <row r="1093" spans="1:2" x14ac:dyDescent="0.25">
      <c r="A1093" s="8">
        <v>42734</v>
      </c>
      <c r="B1093">
        <v>145.35849999999999</v>
      </c>
    </row>
    <row r="1094" spans="1:2" x14ac:dyDescent="0.25">
      <c r="A1094" s="8">
        <v>42766</v>
      </c>
      <c r="B1094">
        <v>156.4572</v>
      </c>
    </row>
    <row r="1095" spans="1:2" x14ac:dyDescent="0.25">
      <c r="A1095" s="8">
        <v>42794</v>
      </c>
      <c r="B1095">
        <v>29.917899999999999</v>
      </c>
    </row>
    <row r="1096" spans="1:2" x14ac:dyDescent="0.25">
      <c r="A1096" s="8">
        <v>42825</v>
      </c>
      <c r="B1096">
        <v>30.160599999999999</v>
      </c>
    </row>
    <row r="1097" spans="1:2" x14ac:dyDescent="0.25">
      <c r="A1097" s="8">
        <v>42853</v>
      </c>
      <c r="B1097">
        <v>31.1447</v>
      </c>
    </row>
    <row r="1098" spans="1:2" x14ac:dyDescent="0.25">
      <c r="A1098" s="8">
        <v>42886</v>
      </c>
      <c r="B1098">
        <v>30.444299999999998</v>
      </c>
    </row>
    <row r="1099" spans="1:2" x14ac:dyDescent="0.25">
      <c r="A1099" s="8">
        <v>42916</v>
      </c>
      <c r="B1099">
        <v>31.6021</v>
      </c>
    </row>
    <row r="1100" spans="1:2" x14ac:dyDescent="0.25">
      <c r="A1100" s="8">
        <v>42947</v>
      </c>
      <c r="B1100">
        <v>35.973599999999998</v>
      </c>
    </row>
    <row r="1101" spans="1:2" x14ac:dyDescent="0.25">
      <c r="A1101" s="8">
        <v>42978</v>
      </c>
      <c r="B1101">
        <v>34.3399</v>
      </c>
    </row>
    <row r="1102" spans="1:2" x14ac:dyDescent="0.25">
      <c r="A1102" s="8">
        <v>43007</v>
      </c>
      <c r="B1102">
        <v>37.3399</v>
      </c>
    </row>
    <row r="1103" spans="1:2" x14ac:dyDescent="0.25">
      <c r="A1103" s="8">
        <v>43039</v>
      </c>
      <c r="B1103">
        <v>35.517600000000002</v>
      </c>
    </row>
    <row r="1104" spans="1:2" x14ac:dyDescent="0.25">
      <c r="A1104" s="8">
        <v>43069</v>
      </c>
      <c r="B1104">
        <v>35.244799999999998</v>
      </c>
    </row>
    <row r="1105" spans="1:2" x14ac:dyDescent="0.25">
      <c r="A1105" s="8">
        <v>43098</v>
      </c>
      <c r="B1105">
        <v>36.183100000000003</v>
      </c>
    </row>
    <row r="1106" spans="1:2" x14ac:dyDescent="0.25">
      <c r="A1106" s="8">
        <v>43131</v>
      </c>
      <c r="B1106">
        <v>37.197000000000003</v>
      </c>
    </row>
    <row r="1107" spans="1:2" x14ac:dyDescent="0.25">
      <c r="A1107" s="8">
        <v>43159</v>
      </c>
      <c r="B1107">
        <v>19.497699999999998</v>
      </c>
    </row>
    <row r="1108" spans="1:2" x14ac:dyDescent="0.25">
      <c r="A1108" s="8">
        <v>43189</v>
      </c>
      <c r="B1108">
        <v>19.765499999999999</v>
      </c>
    </row>
    <row r="1109" spans="1:2" x14ac:dyDescent="0.25">
      <c r="A1109" s="8">
        <v>43220</v>
      </c>
      <c r="B1109">
        <v>20.509799999999998</v>
      </c>
    </row>
    <row r="1110" spans="1:2" x14ac:dyDescent="0.25">
      <c r="A1110" s="8">
        <v>43251</v>
      </c>
      <c r="B1110">
        <v>19.735800000000001</v>
      </c>
    </row>
    <row r="1111" spans="1:2" x14ac:dyDescent="0.25">
      <c r="A1111" s="8">
        <v>43280</v>
      </c>
      <c r="B1111">
        <v>18.963100000000001</v>
      </c>
    </row>
    <row r="1112" spans="1:2" x14ac:dyDescent="0.25">
      <c r="A1112" s="8">
        <v>43312</v>
      </c>
      <c r="B1112">
        <v>19.9313</v>
      </c>
    </row>
    <row r="1113" spans="1:2" x14ac:dyDescent="0.25">
      <c r="A1113" s="8">
        <v>43343</v>
      </c>
      <c r="B1113">
        <v>19.372199999999999</v>
      </c>
    </row>
    <row r="1114" spans="1:2" x14ac:dyDescent="0.25">
      <c r="A1114" s="8">
        <v>43371</v>
      </c>
      <c r="B1114">
        <v>19.685300000000002</v>
      </c>
    </row>
    <row r="1115" spans="1:2" x14ac:dyDescent="0.25">
      <c r="A1115" s="8">
        <v>43404</v>
      </c>
      <c r="B1115">
        <v>17.216000000000001</v>
      </c>
    </row>
    <row r="1116" spans="1:2" x14ac:dyDescent="0.25">
      <c r="A1116" s="8">
        <v>43434</v>
      </c>
      <c r="B1116">
        <v>16.4422</v>
      </c>
    </row>
    <row r="1117" spans="1:2" x14ac:dyDescent="0.25">
      <c r="A1117" s="8">
        <v>43465</v>
      </c>
      <c r="B1117">
        <v>14.975300000000001</v>
      </c>
    </row>
    <row r="1118" spans="1:2" x14ac:dyDescent="0.25">
      <c r="A1118" s="8">
        <v>43496</v>
      </c>
      <c r="B1118">
        <v>16.5444</v>
      </c>
    </row>
    <row r="1119" spans="1:2" x14ac:dyDescent="0.25">
      <c r="A1119" s="8">
        <v>43524</v>
      </c>
      <c r="B1119">
        <v>18.755600000000001</v>
      </c>
    </row>
    <row r="1120" spans="1:2" x14ac:dyDescent="0.25">
      <c r="A1120" s="8">
        <v>43553</v>
      </c>
      <c r="B1120">
        <v>19.0274</v>
      </c>
    </row>
    <row r="1121" spans="1:2" x14ac:dyDescent="0.25">
      <c r="A1121" s="8">
        <v>43585</v>
      </c>
      <c r="B1121">
        <v>18.3169</v>
      </c>
    </row>
    <row r="1122" spans="1:2" x14ac:dyDescent="0.25">
      <c r="A1122" s="8">
        <v>43616</v>
      </c>
      <c r="B1122">
        <v>16.294599999999999</v>
      </c>
    </row>
    <row r="1123" spans="1:2" x14ac:dyDescent="0.25">
      <c r="A1123" s="8">
        <v>43644</v>
      </c>
      <c r="B1123">
        <v>18.365500000000001</v>
      </c>
    </row>
    <row r="1124" spans="1:2" x14ac:dyDescent="0.25">
      <c r="A1124" s="8">
        <v>43677</v>
      </c>
      <c r="B1124">
        <v>19.110399999999998</v>
      </c>
    </row>
    <row r="1125" spans="1:2" x14ac:dyDescent="0.25">
      <c r="A1125" s="8">
        <v>43707</v>
      </c>
      <c r="B1125">
        <v>18.074200000000001</v>
      </c>
    </row>
    <row r="1126" spans="1:2" x14ac:dyDescent="0.25">
      <c r="A1126" s="8">
        <v>43738</v>
      </c>
      <c r="B1126">
        <v>19.138100000000001</v>
      </c>
    </row>
    <row r="1127" spans="1:2" x14ac:dyDescent="0.25">
      <c r="A1127" s="8">
        <v>43769</v>
      </c>
      <c r="B1127">
        <v>19.6999</v>
      </c>
    </row>
    <row r="1128" spans="1:2" x14ac:dyDescent="0.25">
      <c r="A1128" s="8">
        <v>43798</v>
      </c>
      <c r="B1128">
        <v>20.011099999999999</v>
      </c>
    </row>
    <row r="1129" spans="1:2" x14ac:dyDescent="0.25">
      <c r="A1129" s="8">
        <v>43830</v>
      </c>
      <c r="B1129">
        <v>21.1553</v>
      </c>
    </row>
    <row r="1130" spans="1:2" x14ac:dyDescent="0.25">
      <c r="A1130" s="8">
        <v>43861</v>
      </c>
      <c r="B1130">
        <v>19.157399999999999</v>
      </c>
    </row>
    <row r="1131" spans="1:2" x14ac:dyDescent="0.25">
      <c r="A1131" s="8">
        <v>43889</v>
      </c>
      <c r="B1131">
        <v>15.129799999999999</v>
      </c>
    </row>
    <row r="1132" spans="1:2" x14ac:dyDescent="0.25">
      <c r="A1132" s="8">
        <v>43921</v>
      </c>
      <c r="B1132">
        <v>45.932499999999997</v>
      </c>
    </row>
    <row r="1133" spans="1:2" x14ac:dyDescent="0.25">
      <c r="A1133" s="8">
        <v>44253</v>
      </c>
      <c r="B1133">
        <v>26.871600000000001</v>
      </c>
    </row>
    <row r="1134" spans="1:2" x14ac:dyDescent="0.25">
      <c r="A1134" s="8">
        <v>44286</v>
      </c>
      <c r="B1134">
        <v>22.2484</v>
      </c>
    </row>
    <row r="1135" spans="1:2" x14ac:dyDescent="0.25">
      <c r="A1135" s="8">
        <v>44316</v>
      </c>
      <c r="B1135">
        <v>20.46</v>
      </c>
    </row>
    <row r="1136" spans="1:2" x14ac:dyDescent="0.25">
      <c r="A1136" s="8">
        <v>44347</v>
      </c>
      <c r="B1136">
        <v>19.365100000000002</v>
      </c>
    </row>
    <row r="1137" spans="1:2" x14ac:dyDescent="0.25">
      <c r="A1137" s="8">
        <v>44377</v>
      </c>
      <c r="B1137">
        <v>19.203099999999999</v>
      </c>
    </row>
    <row r="1138" spans="1:2" x14ac:dyDescent="0.25">
      <c r="A1138" s="8">
        <v>44407</v>
      </c>
      <c r="B1138">
        <v>16.439299999999999</v>
      </c>
    </row>
    <row r="1139" spans="1:2" x14ac:dyDescent="0.25">
      <c r="A1139" s="8">
        <v>44439</v>
      </c>
      <c r="B1139">
        <v>15.0001</v>
      </c>
    </row>
    <row r="1140" spans="1:2" x14ac:dyDescent="0.25">
      <c r="A1140" s="8">
        <v>44469</v>
      </c>
      <c r="B1140">
        <v>15.764799999999999</v>
      </c>
    </row>
    <row r="1141" spans="1:2" x14ac:dyDescent="0.25">
      <c r="A1141" s="8">
        <v>44498</v>
      </c>
      <c r="B1141">
        <v>15.7285</v>
      </c>
    </row>
    <row r="1142" spans="1:2" x14ac:dyDescent="0.25">
      <c r="A1142" s="8">
        <v>44530</v>
      </c>
      <c r="B1142">
        <v>13.8726</v>
      </c>
    </row>
    <row r="1143" spans="1:2" x14ac:dyDescent="0.25">
      <c r="A1143" s="8">
        <v>44561</v>
      </c>
      <c r="B1143">
        <v>14.1494</v>
      </c>
    </row>
    <row r="1144" spans="1:2" x14ac:dyDescent="0.25">
      <c r="A1144" s="8">
        <v>44592</v>
      </c>
      <c r="B1144">
        <v>16.289100000000001</v>
      </c>
    </row>
    <row r="1145" spans="1:2" x14ac:dyDescent="0.25">
      <c r="A1145" s="8">
        <v>44620</v>
      </c>
      <c r="B1145">
        <v>12.4025</v>
      </c>
    </row>
    <row r="1146" spans="1:2" x14ac:dyDescent="0.25">
      <c r="A1146" s="8">
        <v>44651</v>
      </c>
      <c r="B1146">
        <v>10.798299999999999</v>
      </c>
    </row>
    <row r="1147" spans="1:2" x14ac:dyDescent="0.25">
      <c r="A1147" s="8">
        <v>44680</v>
      </c>
      <c r="B1147">
        <v>9.4434000000000005</v>
      </c>
    </row>
    <row r="1148" spans="1:2" x14ac:dyDescent="0.25">
      <c r="A1148" s="8">
        <v>44712</v>
      </c>
      <c r="B1148">
        <v>10.008699999999999</v>
      </c>
    </row>
    <row r="1149" spans="1:2" x14ac:dyDescent="0.25">
      <c r="A1149" s="8">
        <v>44742</v>
      </c>
      <c r="B1149">
        <v>7.8285</v>
      </c>
    </row>
    <row r="1150" spans="1:2" x14ac:dyDescent="0.25">
      <c r="A1150" s="8">
        <v>44771</v>
      </c>
      <c r="B1150">
        <v>7.9734999999999996</v>
      </c>
    </row>
    <row r="1151" spans="1:2" x14ac:dyDescent="0.25">
      <c r="A1151" s="8">
        <v>44804</v>
      </c>
      <c r="B1151">
        <v>7.819</v>
      </c>
    </row>
    <row r="1152" spans="1:2" x14ac:dyDescent="0.25">
      <c r="A1152" s="8">
        <v>44834</v>
      </c>
      <c r="B1152">
        <v>7.0284000000000004</v>
      </c>
    </row>
    <row r="1153" spans="1:2" x14ac:dyDescent="0.25">
      <c r="A1153" s="8">
        <v>44865</v>
      </c>
      <c r="B1153">
        <v>8.6537000000000006</v>
      </c>
    </row>
    <row r="1154" spans="1:2" x14ac:dyDescent="0.25">
      <c r="A1154" s="8">
        <v>44895</v>
      </c>
      <c r="B1154">
        <v>8.4806000000000008</v>
      </c>
    </row>
    <row r="1155" spans="1:2" x14ac:dyDescent="0.25">
      <c r="A1155" s="8">
        <v>44925</v>
      </c>
      <c r="B1155">
        <v>8.1964000000000006</v>
      </c>
    </row>
    <row r="1156" spans="1:2" x14ac:dyDescent="0.25">
      <c r="A1156" s="8">
        <v>44957</v>
      </c>
      <c r="B1156">
        <v>8.4604999999999997</v>
      </c>
    </row>
    <row r="1157" spans="1:2" x14ac:dyDescent="0.25">
      <c r="A1157" s="8">
        <v>44985</v>
      </c>
      <c r="B1157">
        <v>10.026400000000001</v>
      </c>
    </row>
    <row r="1158" spans="1:2" x14ac:dyDescent="0.25">
      <c r="A1158" s="8">
        <v>45016</v>
      </c>
      <c r="B1158">
        <v>10.193300000000001</v>
      </c>
    </row>
    <row r="1159" spans="1:2" x14ac:dyDescent="0.25">
      <c r="A1159" s="8">
        <v>45044</v>
      </c>
      <c r="B1159">
        <v>10.9208</v>
      </c>
    </row>
    <row r="1160" spans="1:2" x14ac:dyDescent="0.25">
      <c r="A1160" s="8">
        <v>45077</v>
      </c>
      <c r="B1160">
        <v>10.0654</v>
      </c>
    </row>
    <row r="1161" spans="1:2" x14ac:dyDescent="0.25">
      <c r="A1161" s="8">
        <v>45107</v>
      </c>
      <c r="B1161">
        <v>10.779500000000001</v>
      </c>
    </row>
    <row r="1162" spans="1:2" x14ac:dyDescent="0.25">
      <c r="A1162" s="8">
        <v>45138</v>
      </c>
      <c r="B1162">
        <v>12.1111</v>
      </c>
    </row>
    <row r="1163" spans="1:2" x14ac:dyDescent="0.25">
      <c r="A1163" s="8">
        <v>45169</v>
      </c>
      <c r="B1163">
        <v>11.824999999999999</v>
      </c>
    </row>
    <row r="1164" spans="1:2" x14ac:dyDescent="0.25">
      <c r="A1164" s="8">
        <v>45198</v>
      </c>
      <c r="B1164">
        <v>11.8362</v>
      </c>
    </row>
    <row r="1165" spans="1:2" x14ac:dyDescent="0.25">
      <c r="A1165" s="8">
        <v>45230</v>
      </c>
      <c r="B1165">
        <v>11.023</v>
      </c>
    </row>
    <row r="1166" spans="1:2" x14ac:dyDescent="0.25">
      <c r="A1166" s="8">
        <v>45260</v>
      </c>
      <c r="B1166">
        <v>10.8795</v>
      </c>
    </row>
    <row r="1167" spans="1:2" x14ac:dyDescent="0.25">
      <c r="A1167" s="8">
        <v>45289</v>
      </c>
      <c r="B1167">
        <v>10.9444</v>
      </c>
    </row>
    <row r="1168" spans="1:2" x14ac:dyDescent="0.25">
      <c r="A1168" s="8">
        <v>45322</v>
      </c>
      <c r="B1168">
        <v>10.9162</v>
      </c>
    </row>
    <row r="1169" spans="1:2" x14ac:dyDescent="0.25">
      <c r="A1169" s="8">
        <v>45351</v>
      </c>
      <c r="B1169">
        <v>11.9504</v>
      </c>
    </row>
    <row r="1170" spans="1:2" x14ac:dyDescent="0.25">
      <c r="A1170" s="8">
        <v>45380</v>
      </c>
      <c r="B1170">
        <v>12.946300000000001</v>
      </c>
    </row>
    <row r="1171" spans="1:2" x14ac:dyDescent="0.25">
      <c r="A1171" s="8">
        <v>45412</v>
      </c>
      <c r="B1171">
        <v>12.4278</v>
      </c>
    </row>
    <row r="1172" spans="1:2" x14ac:dyDescent="0.25">
      <c r="A1172" s="8">
        <v>45443</v>
      </c>
      <c r="B1172">
        <v>12.8864</v>
      </c>
    </row>
    <row r="1173" spans="1:2" x14ac:dyDescent="0.25">
      <c r="A1173" s="8">
        <v>45471</v>
      </c>
      <c r="B1173">
        <v>12.686999999999999</v>
      </c>
    </row>
    <row r="1174" spans="1:2" x14ac:dyDescent="0.25">
      <c r="A1174" s="8">
        <v>45504</v>
      </c>
      <c r="B1174">
        <v>13.805199999999999</v>
      </c>
    </row>
    <row r="1175" spans="1:2" x14ac:dyDescent="0.25">
      <c r="A1175" s="8">
        <v>45534</v>
      </c>
      <c r="B1175">
        <v>13.818199999999999</v>
      </c>
    </row>
    <row r="1176" spans="1:2" x14ac:dyDescent="0.25">
      <c r="A1176" s="8">
        <v>45565</v>
      </c>
      <c r="B1176">
        <v>14.065099999999999</v>
      </c>
    </row>
    <row r="1177" spans="1:2" x14ac:dyDescent="0.25">
      <c r="A1177" s="8">
        <v>45596</v>
      </c>
      <c r="B1177">
        <v>14.7501</v>
      </c>
    </row>
    <row r="1178" spans="1:2" x14ac:dyDescent="0.25">
      <c r="A1178" s="8">
        <v>45625</v>
      </c>
      <c r="B1178">
        <v>15.917899999999999</v>
      </c>
    </row>
    <row r="1179" spans="1:2" x14ac:dyDescent="0.25">
      <c r="A1179" s="8">
        <v>45657</v>
      </c>
      <c r="B1179">
        <v>14.3254</v>
      </c>
    </row>
    <row r="1180" spans="1:2" x14ac:dyDescent="0.25">
      <c r="A1180" s="8">
        <v>45688</v>
      </c>
      <c r="B1180">
        <v>15.3508</v>
      </c>
    </row>
    <row r="1181" spans="1:2" x14ac:dyDescent="0.25">
      <c r="A1181" s="8">
        <v>45716</v>
      </c>
      <c r="B1181">
        <v>14.8804</v>
      </c>
    </row>
    <row r="1182" spans="1:2" x14ac:dyDescent="0.25">
      <c r="A1182" s="8">
        <v>45747</v>
      </c>
      <c r="B1182">
        <v>15.617100000000001</v>
      </c>
    </row>
    <row r="1183" spans="1:2" x14ac:dyDescent="0.25">
      <c r="A1183" s="8">
        <v>45777</v>
      </c>
      <c r="B1183">
        <v>15.2227</v>
      </c>
    </row>
    <row r="1184" spans="1:2" x14ac:dyDescent="0.25">
      <c r="A1184" s="8">
        <v>45807</v>
      </c>
      <c r="B1184">
        <v>15.8408</v>
      </c>
    </row>
    <row r="1185" spans="1:2" x14ac:dyDescent="0.25">
      <c r="A1185" s="8">
        <v>45838</v>
      </c>
      <c r="B1185">
        <v>16.382100000000001</v>
      </c>
    </row>
    <row r="1186" spans="1:2" x14ac:dyDescent="0.25">
      <c r="A1186" s="8">
        <v>45869</v>
      </c>
      <c r="B1186">
        <v>17.244700000000002</v>
      </c>
    </row>
    <row r="1187" spans="1:2" x14ac:dyDescent="0.25">
      <c r="A1187" s="8">
        <v>45898</v>
      </c>
      <c r="B1187">
        <v>17.355</v>
      </c>
    </row>
    <row r="1188" spans="1:2" x14ac:dyDescent="0.25">
      <c r="A1188" s="8">
        <v>45930</v>
      </c>
      <c r="B1188">
        <v>17.157</v>
      </c>
    </row>
    <row r="1189" spans="1:2" x14ac:dyDescent="0.25">
      <c r="A1189" s="8">
        <v>45961</v>
      </c>
      <c r="B1189">
        <v>17.0215</v>
      </c>
    </row>
    <row r="1190" spans="1:2" x14ac:dyDescent="0.25">
      <c r="A1190" s="8">
        <v>45989</v>
      </c>
      <c r="B1190">
        <v>17.0825</v>
      </c>
    </row>
    <row r="1191" spans="1:2" x14ac:dyDescent="0.25">
      <c r="A1191" s="8">
        <v>46022</v>
      </c>
      <c r="B1191">
        <v>16.940100000000001</v>
      </c>
    </row>
    <row r="1192" spans="1:2" x14ac:dyDescent="0.25">
      <c r="A1192" s="8">
        <v>46052</v>
      </c>
      <c r="B1192">
        <v>19.714700000000001</v>
      </c>
    </row>
    <row r="1216" spans="1:4" x14ac:dyDescent="0.25">
      <c r="A1216" s="6" t="s">
        <v>332</v>
      </c>
      <c r="B1216" s="6" t="s">
        <v>333</v>
      </c>
      <c r="C1216" s="6" t="s">
        <v>334</v>
      </c>
      <c r="D1216" s="6" t="s">
        <v>307</v>
      </c>
    </row>
    <row r="1217" spans="1:2" x14ac:dyDescent="0.25">
      <c r="A1217" s="8">
        <f ca="1">_xll.BDH("S5INDU Index","BEST_PE_RATIO","02/01/2016",TODAY(),"Per=M","cols=2;rows=121")</f>
        <v>42398</v>
      </c>
      <c r="B1217">
        <v>15.497400000000001</v>
      </c>
    </row>
    <row r="1218" spans="1:2" x14ac:dyDescent="0.25">
      <c r="A1218" s="8">
        <v>42429</v>
      </c>
      <c r="B1218">
        <v>15.4938</v>
      </c>
    </row>
    <row r="1219" spans="1:2" x14ac:dyDescent="0.25">
      <c r="A1219" s="8">
        <v>42460</v>
      </c>
      <c r="B1219">
        <v>16.510200000000001</v>
      </c>
    </row>
    <row r="1220" spans="1:2" x14ac:dyDescent="0.25">
      <c r="A1220" s="8">
        <v>42489</v>
      </c>
      <c r="B1220">
        <v>16.716799999999999</v>
      </c>
    </row>
    <row r="1221" spans="1:2" x14ac:dyDescent="0.25">
      <c r="A1221" s="8">
        <v>42521</v>
      </c>
      <c r="B1221">
        <v>16.569800000000001</v>
      </c>
    </row>
    <row r="1222" spans="1:2" x14ac:dyDescent="0.25">
      <c r="A1222" s="8">
        <v>42551</v>
      </c>
      <c r="B1222">
        <v>16.803999999999998</v>
      </c>
    </row>
    <row r="1223" spans="1:2" x14ac:dyDescent="0.25">
      <c r="A1223" s="8">
        <v>42580</v>
      </c>
      <c r="B1223">
        <v>17.610800000000001</v>
      </c>
    </row>
    <row r="1224" spans="1:2" x14ac:dyDescent="0.25">
      <c r="A1224" s="8">
        <v>42613</v>
      </c>
      <c r="B1224">
        <v>17.6906</v>
      </c>
    </row>
    <row r="1225" spans="1:2" x14ac:dyDescent="0.25">
      <c r="A1225" s="8">
        <v>42643</v>
      </c>
      <c r="B1225">
        <v>17.518599999999999</v>
      </c>
    </row>
    <row r="1226" spans="1:2" x14ac:dyDescent="0.25">
      <c r="A1226" s="8">
        <v>42674</v>
      </c>
      <c r="B1226">
        <v>17.1069</v>
      </c>
    </row>
    <row r="1227" spans="1:2" x14ac:dyDescent="0.25">
      <c r="A1227" s="8">
        <v>42704</v>
      </c>
      <c r="B1227">
        <v>18.6462</v>
      </c>
    </row>
    <row r="1228" spans="1:2" x14ac:dyDescent="0.25">
      <c r="A1228" s="8">
        <v>42734</v>
      </c>
      <c r="B1228">
        <v>18.564900000000002</v>
      </c>
    </row>
    <row r="1229" spans="1:2" x14ac:dyDescent="0.25">
      <c r="A1229" s="8">
        <v>42766</v>
      </c>
      <c r="B1229">
        <v>18.513200000000001</v>
      </c>
    </row>
    <row r="1230" spans="1:2" x14ac:dyDescent="0.25">
      <c r="A1230" s="8">
        <v>42794</v>
      </c>
      <c r="B1230">
        <v>18.8062</v>
      </c>
    </row>
    <row r="1231" spans="1:2" x14ac:dyDescent="0.25">
      <c r="A1231" s="8">
        <v>42825</v>
      </c>
      <c r="B1231">
        <v>18.560199999999998</v>
      </c>
    </row>
    <row r="1232" spans="1:2" x14ac:dyDescent="0.25">
      <c r="A1232" s="8">
        <v>42853</v>
      </c>
      <c r="B1232">
        <v>18.558900000000001</v>
      </c>
    </row>
    <row r="1233" spans="1:2" x14ac:dyDescent="0.25">
      <c r="A1233" s="8">
        <v>42886</v>
      </c>
      <c r="B1233">
        <v>18.6325</v>
      </c>
    </row>
    <row r="1234" spans="1:2" x14ac:dyDescent="0.25">
      <c r="A1234" s="8">
        <v>42916</v>
      </c>
      <c r="B1234">
        <v>18.8323</v>
      </c>
    </row>
    <row r="1235" spans="1:2" x14ac:dyDescent="0.25">
      <c r="A1235" s="8">
        <v>42947</v>
      </c>
      <c r="B1235">
        <v>18.626999999999999</v>
      </c>
    </row>
    <row r="1236" spans="1:2" x14ac:dyDescent="0.25">
      <c r="A1236" s="8">
        <v>42978</v>
      </c>
      <c r="B1236">
        <v>18.6081</v>
      </c>
    </row>
    <row r="1237" spans="1:2" x14ac:dyDescent="0.25">
      <c r="A1237" s="8">
        <v>43007</v>
      </c>
      <c r="B1237">
        <v>19.560400000000001</v>
      </c>
    </row>
    <row r="1238" spans="1:2" x14ac:dyDescent="0.25">
      <c r="A1238" s="8">
        <v>43039</v>
      </c>
      <c r="B1238">
        <v>20.077500000000001</v>
      </c>
    </row>
    <row r="1239" spans="1:2" x14ac:dyDescent="0.25">
      <c r="A1239" s="8">
        <v>43069</v>
      </c>
      <c r="B1239">
        <v>20.973299999999998</v>
      </c>
    </row>
    <row r="1240" spans="1:2" x14ac:dyDescent="0.25">
      <c r="A1240" s="8">
        <v>43098</v>
      </c>
      <c r="B1240">
        <v>21.202500000000001</v>
      </c>
    </row>
    <row r="1241" spans="1:2" x14ac:dyDescent="0.25">
      <c r="A1241" s="8">
        <v>43131</v>
      </c>
      <c r="B1241">
        <v>22.4343</v>
      </c>
    </row>
    <row r="1242" spans="1:2" x14ac:dyDescent="0.25">
      <c r="A1242" s="8">
        <v>43159</v>
      </c>
      <c r="B1242">
        <v>17.901199999999999</v>
      </c>
    </row>
    <row r="1243" spans="1:2" x14ac:dyDescent="0.25">
      <c r="A1243" s="8">
        <v>43189</v>
      </c>
      <c r="B1243">
        <v>17.3034</v>
      </c>
    </row>
    <row r="1244" spans="1:2" x14ac:dyDescent="0.25">
      <c r="A1244" s="8">
        <v>43220</v>
      </c>
      <c r="B1244">
        <v>16.746700000000001</v>
      </c>
    </row>
    <row r="1245" spans="1:2" x14ac:dyDescent="0.25">
      <c r="A1245" s="8">
        <v>43251</v>
      </c>
      <c r="B1245">
        <v>17.131599999999999</v>
      </c>
    </row>
    <row r="1246" spans="1:2" x14ac:dyDescent="0.25">
      <c r="A1246" s="8">
        <v>43280</v>
      </c>
      <c r="B1246">
        <v>16.515799999999999</v>
      </c>
    </row>
    <row r="1247" spans="1:2" x14ac:dyDescent="0.25">
      <c r="A1247" s="8">
        <v>43312</v>
      </c>
      <c r="B1247">
        <v>17.710699999999999</v>
      </c>
    </row>
    <row r="1248" spans="1:2" x14ac:dyDescent="0.25">
      <c r="A1248" s="8">
        <v>43343</v>
      </c>
      <c r="B1248">
        <v>17.714600000000001</v>
      </c>
    </row>
    <row r="1249" spans="1:2" x14ac:dyDescent="0.25">
      <c r="A1249" s="8">
        <v>43371</v>
      </c>
      <c r="B1249">
        <v>17.9191</v>
      </c>
    </row>
    <row r="1250" spans="1:2" x14ac:dyDescent="0.25">
      <c r="A1250" s="8">
        <v>43404</v>
      </c>
      <c r="B1250">
        <v>16.006499999999999</v>
      </c>
    </row>
    <row r="1251" spans="1:2" x14ac:dyDescent="0.25">
      <c r="A1251" s="8">
        <v>43434</v>
      </c>
      <c r="B1251">
        <v>16.752600000000001</v>
      </c>
    </row>
    <row r="1252" spans="1:2" x14ac:dyDescent="0.25">
      <c r="A1252" s="8">
        <v>43465</v>
      </c>
      <c r="B1252">
        <v>14.8736</v>
      </c>
    </row>
    <row r="1253" spans="1:2" x14ac:dyDescent="0.25">
      <c r="A1253" s="8">
        <v>43496</v>
      </c>
      <c r="B1253">
        <v>16.442599999999999</v>
      </c>
    </row>
    <row r="1254" spans="1:2" x14ac:dyDescent="0.25">
      <c r="A1254" s="8">
        <v>43524</v>
      </c>
      <c r="B1254">
        <v>16.156600000000001</v>
      </c>
    </row>
    <row r="1255" spans="1:2" x14ac:dyDescent="0.25">
      <c r="A1255" s="8">
        <v>43553</v>
      </c>
      <c r="B1255">
        <v>16.078399999999998</v>
      </c>
    </row>
    <row r="1256" spans="1:2" x14ac:dyDescent="0.25">
      <c r="A1256" s="8">
        <v>43585</v>
      </c>
      <c r="B1256">
        <v>17.083200000000001</v>
      </c>
    </row>
    <row r="1257" spans="1:2" x14ac:dyDescent="0.25">
      <c r="A1257" s="8">
        <v>43616</v>
      </c>
      <c r="B1257">
        <v>15.6601</v>
      </c>
    </row>
    <row r="1258" spans="1:2" x14ac:dyDescent="0.25">
      <c r="A1258" s="8">
        <v>43644</v>
      </c>
      <c r="B1258">
        <v>16.8706</v>
      </c>
    </row>
    <row r="1259" spans="1:2" x14ac:dyDescent="0.25">
      <c r="A1259" s="8">
        <v>43677</v>
      </c>
      <c r="B1259">
        <v>17.705500000000001</v>
      </c>
    </row>
    <row r="1260" spans="1:2" x14ac:dyDescent="0.25">
      <c r="A1260" s="8">
        <v>43707</v>
      </c>
      <c r="B1260">
        <v>17.408000000000001</v>
      </c>
    </row>
    <row r="1261" spans="1:2" x14ac:dyDescent="0.25">
      <c r="A1261" s="8">
        <v>43738</v>
      </c>
      <c r="B1261">
        <v>17.985299999999999</v>
      </c>
    </row>
    <row r="1262" spans="1:2" x14ac:dyDescent="0.25">
      <c r="A1262" s="8">
        <v>43769</v>
      </c>
      <c r="B1262">
        <v>18.505299999999998</v>
      </c>
    </row>
    <row r="1263" spans="1:2" x14ac:dyDescent="0.25">
      <c r="A1263" s="8">
        <v>43798</v>
      </c>
      <c r="B1263">
        <v>19.281099999999999</v>
      </c>
    </row>
    <row r="1264" spans="1:2" x14ac:dyDescent="0.25">
      <c r="A1264" s="8">
        <v>43830</v>
      </c>
      <c r="B1264">
        <v>19.1144</v>
      </c>
    </row>
    <row r="1265" spans="1:2" x14ac:dyDescent="0.25">
      <c r="A1265" s="8">
        <v>43861</v>
      </c>
      <c r="B1265">
        <v>19.532499999999999</v>
      </c>
    </row>
    <row r="1266" spans="1:2" x14ac:dyDescent="0.25">
      <c r="A1266" s="8">
        <v>43889</v>
      </c>
      <c r="B1266">
        <v>16.602799999999998</v>
      </c>
    </row>
    <row r="1267" spans="1:2" x14ac:dyDescent="0.25">
      <c r="A1267" s="8">
        <v>43921</v>
      </c>
      <c r="B1267">
        <v>18.135400000000001</v>
      </c>
    </row>
    <row r="1268" spans="1:2" x14ac:dyDescent="0.25">
      <c r="A1268" s="8">
        <v>43951</v>
      </c>
      <c r="B1268">
        <v>26.620899999999999</v>
      </c>
    </row>
    <row r="1269" spans="1:2" x14ac:dyDescent="0.25">
      <c r="A1269" s="8">
        <v>43980</v>
      </c>
      <c r="B1269">
        <v>31.221699999999998</v>
      </c>
    </row>
    <row r="1270" spans="1:2" x14ac:dyDescent="0.25">
      <c r="A1270" s="8">
        <v>44012</v>
      </c>
      <c r="B1270">
        <v>32.453299999999999</v>
      </c>
    </row>
    <row r="1271" spans="1:2" x14ac:dyDescent="0.25">
      <c r="A1271" s="8">
        <v>44043</v>
      </c>
      <c r="B1271">
        <v>35.7072</v>
      </c>
    </row>
    <row r="1272" spans="1:2" x14ac:dyDescent="0.25">
      <c r="A1272" s="8">
        <v>44074</v>
      </c>
      <c r="B1272">
        <v>38.741399999999999</v>
      </c>
    </row>
    <row r="1273" spans="1:2" x14ac:dyDescent="0.25">
      <c r="A1273" s="8">
        <v>44104</v>
      </c>
      <c r="B1273">
        <v>39.577199999999998</v>
      </c>
    </row>
    <row r="1274" spans="1:2" x14ac:dyDescent="0.25">
      <c r="A1274" s="8">
        <v>44134</v>
      </c>
      <c r="B1274">
        <v>38.339300000000001</v>
      </c>
    </row>
    <row r="1275" spans="1:2" x14ac:dyDescent="0.25">
      <c r="A1275" s="8">
        <v>44165</v>
      </c>
      <c r="B1275">
        <v>41.979500000000002</v>
      </c>
    </row>
    <row r="1276" spans="1:2" x14ac:dyDescent="0.25">
      <c r="A1276" s="8">
        <v>44196</v>
      </c>
      <c r="B1276">
        <v>41.8812</v>
      </c>
    </row>
    <row r="1277" spans="1:2" x14ac:dyDescent="0.25">
      <c r="A1277" s="8">
        <v>44225</v>
      </c>
      <c r="B1277">
        <v>44.548299999999998</v>
      </c>
    </row>
    <row r="1278" spans="1:2" x14ac:dyDescent="0.25">
      <c r="A1278" s="8">
        <v>44253</v>
      </c>
      <c r="B1278">
        <v>25.822199999999999</v>
      </c>
    </row>
    <row r="1279" spans="1:2" x14ac:dyDescent="0.25">
      <c r="A1279" s="8">
        <v>44286</v>
      </c>
      <c r="B1279">
        <v>28.349799999999998</v>
      </c>
    </row>
    <row r="1280" spans="1:2" x14ac:dyDescent="0.25">
      <c r="A1280" s="8">
        <v>44316</v>
      </c>
      <c r="B1280">
        <v>28.3612</v>
      </c>
    </row>
    <row r="1281" spans="1:2" x14ac:dyDescent="0.25">
      <c r="A1281" s="8">
        <v>44347</v>
      </c>
      <c r="B1281">
        <v>28.5428</v>
      </c>
    </row>
    <row r="1282" spans="1:2" x14ac:dyDescent="0.25">
      <c r="A1282" s="8">
        <v>44377</v>
      </c>
      <c r="B1282">
        <v>27.744199999999999</v>
      </c>
    </row>
    <row r="1283" spans="1:2" x14ac:dyDescent="0.25">
      <c r="A1283" s="8">
        <v>44407</v>
      </c>
      <c r="B1283">
        <v>26.639299999999999</v>
      </c>
    </row>
    <row r="1284" spans="1:2" x14ac:dyDescent="0.25">
      <c r="A1284" s="8">
        <v>44439</v>
      </c>
      <c r="B1284">
        <v>26.543800000000001</v>
      </c>
    </row>
    <row r="1285" spans="1:2" x14ac:dyDescent="0.25">
      <c r="A1285" s="8">
        <v>44469</v>
      </c>
      <c r="B1285">
        <v>25.367000000000001</v>
      </c>
    </row>
    <row r="1286" spans="1:2" x14ac:dyDescent="0.25">
      <c r="A1286" s="8">
        <v>44498</v>
      </c>
      <c r="B1286">
        <v>27.948599999999999</v>
      </c>
    </row>
    <row r="1287" spans="1:2" x14ac:dyDescent="0.25">
      <c r="A1287" s="8">
        <v>44530</v>
      </c>
      <c r="B1287">
        <v>26.967500000000001</v>
      </c>
    </row>
    <row r="1288" spans="1:2" x14ac:dyDescent="0.25">
      <c r="A1288" s="8">
        <v>44561</v>
      </c>
      <c r="B1288">
        <v>28.143699999999999</v>
      </c>
    </row>
    <row r="1289" spans="1:2" x14ac:dyDescent="0.25">
      <c r="A1289" s="8">
        <v>44592</v>
      </c>
      <c r="B1289">
        <v>28.082799999999999</v>
      </c>
    </row>
    <row r="1290" spans="1:2" x14ac:dyDescent="0.25">
      <c r="A1290" s="8">
        <v>44620</v>
      </c>
      <c r="B1290">
        <v>20.218599999999999</v>
      </c>
    </row>
    <row r="1291" spans="1:2" x14ac:dyDescent="0.25">
      <c r="A1291" s="8">
        <v>44651</v>
      </c>
      <c r="B1291">
        <v>20.843699999999998</v>
      </c>
    </row>
    <row r="1292" spans="1:2" x14ac:dyDescent="0.25">
      <c r="A1292" s="8">
        <v>44680</v>
      </c>
      <c r="B1292">
        <v>19.047699999999999</v>
      </c>
    </row>
    <row r="1293" spans="1:2" x14ac:dyDescent="0.25">
      <c r="A1293" s="8">
        <v>44712</v>
      </c>
      <c r="B1293">
        <v>18.7593</v>
      </c>
    </row>
    <row r="1294" spans="1:2" x14ac:dyDescent="0.25">
      <c r="A1294" s="8">
        <v>44742</v>
      </c>
      <c r="B1294">
        <v>17.3247</v>
      </c>
    </row>
    <row r="1295" spans="1:2" x14ac:dyDescent="0.25">
      <c r="A1295" s="8">
        <v>44771</v>
      </c>
      <c r="B1295">
        <v>19.307700000000001</v>
      </c>
    </row>
    <row r="1296" spans="1:2" x14ac:dyDescent="0.25">
      <c r="A1296" s="8">
        <v>44804</v>
      </c>
      <c r="B1296">
        <v>18.734500000000001</v>
      </c>
    </row>
    <row r="1297" spans="1:2" x14ac:dyDescent="0.25">
      <c r="A1297" s="8">
        <v>44834</v>
      </c>
      <c r="B1297">
        <v>16.9145</v>
      </c>
    </row>
    <row r="1298" spans="1:2" x14ac:dyDescent="0.25">
      <c r="A1298" s="8">
        <v>44865</v>
      </c>
      <c r="B1298">
        <v>19.5702</v>
      </c>
    </row>
    <row r="1299" spans="1:2" x14ac:dyDescent="0.25">
      <c r="A1299" s="8">
        <v>44895</v>
      </c>
      <c r="B1299">
        <v>21.235600000000002</v>
      </c>
    </row>
    <row r="1300" spans="1:2" x14ac:dyDescent="0.25">
      <c r="A1300" s="8">
        <v>44925</v>
      </c>
      <c r="B1300">
        <v>20.492699999999999</v>
      </c>
    </row>
    <row r="1301" spans="1:2" x14ac:dyDescent="0.25">
      <c r="A1301" s="8">
        <v>44957</v>
      </c>
      <c r="B1301">
        <v>21.653600000000001</v>
      </c>
    </row>
    <row r="1302" spans="1:2" x14ac:dyDescent="0.25">
      <c r="A1302" s="8">
        <v>44985</v>
      </c>
      <c r="B1302">
        <v>19.087800000000001</v>
      </c>
    </row>
    <row r="1303" spans="1:2" x14ac:dyDescent="0.25">
      <c r="A1303" s="8">
        <v>45016</v>
      </c>
      <c r="B1303">
        <v>19.2895</v>
      </c>
    </row>
    <row r="1304" spans="1:2" x14ac:dyDescent="0.25">
      <c r="A1304" s="8">
        <v>45044</v>
      </c>
      <c r="B1304">
        <v>18.955100000000002</v>
      </c>
    </row>
    <row r="1305" spans="1:2" x14ac:dyDescent="0.25">
      <c r="A1305" s="8">
        <v>45077</v>
      </c>
      <c r="B1305">
        <v>18.307600000000001</v>
      </c>
    </row>
    <row r="1306" spans="1:2" x14ac:dyDescent="0.25">
      <c r="A1306" s="8">
        <v>45107</v>
      </c>
      <c r="B1306">
        <v>20.0549</v>
      </c>
    </row>
    <row r="1307" spans="1:2" x14ac:dyDescent="0.25">
      <c r="A1307" s="8">
        <v>45138</v>
      </c>
      <c r="B1307">
        <v>20.5548</v>
      </c>
    </row>
    <row r="1308" spans="1:2" x14ac:dyDescent="0.25">
      <c r="A1308" s="8">
        <v>45169</v>
      </c>
      <c r="B1308">
        <v>19.944900000000001</v>
      </c>
    </row>
    <row r="1309" spans="1:2" x14ac:dyDescent="0.25">
      <c r="A1309" s="8">
        <v>45198</v>
      </c>
      <c r="B1309">
        <v>18.9801</v>
      </c>
    </row>
    <row r="1310" spans="1:2" x14ac:dyDescent="0.25">
      <c r="A1310" s="8">
        <v>45230</v>
      </c>
      <c r="B1310">
        <v>18.625699999999998</v>
      </c>
    </row>
    <row r="1311" spans="1:2" x14ac:dyDescent="0.25">
      <c r="A1311" s="8">
        <v>45260</v>
      </c>
      <c r="B1311">
        <v>20.134599999999999</v>
      </c>
    </row>
    <row r="1312" spans="1:2" x14ac:dyDescent="0.25">
      <c r="A1312" s="8">
        <v>45289</v>
      </c>
      <c r="B1312">
        <v>22.0931</v>
      </c>
    </row>
    <row r="1313" spans="1:2" x14ac:dyDescent="0.25">
      <c r="A1313" s="8">
        <v>45322</v>
      </c>
      <c r="B1313">
        <v>22.334299999999999</v>
      </c>
    </row>
    <row r="1314" spans="1:2" x14ac:dyDescent="0.25">
      <c r="A1314" s="8">
        <v>45351</v>
      </c>
      <c r="B1314">
        <v>21.3262</v>
      </c>
    </row>
    <row r="1315" spans="1:2" x14ac:dyDescent="0.25">
      <c r="A1315" s="8">
        <v>45380</v>
      </c>
      <c r="B1315">
        <v>22.2546</v>
      </c>
    </row>
    <row r="1316" spans="1:2" x14ac:dyDescent="0.25">
      <c r="A1316" s="8">
        <v>45412</v>
      </c>
      <c r="B1316">
        <v>21.5534</v>
      </c>
    </row>
    <row r="1317" spans="1:2" x14ac:dyDescent="0.25">
      <c r="A1317" s="8">
        <v>45443</v>
      </c>
      <c r="B1317">
        <v>22.213699999999999</v>
      </c>
    </row>
    <row r="1318" spans="1:2" x14ac:dyDescent="0.25">
      <c r="A1318" s="8">
        <v>45471</v>
      </c>
      <c r="B1318">
        <v>21.917999999999999</v>
      </c>
    </row>
    <row r="1319" spans="1:2" x14ac:dyDescent="0.25">
      <c r="A1319" s="8">
        <v>45504</v>
      </c>
      <c r="B1319">
        <v>23.3139</v>
      </c>
    </row>
    <row r="1320" spans="1:2" x14ac:dyDescent="0.25">
      <c r="A1320" s="8">
        <v>45534</v>
      </c>
      <c r="B1320">
        <v>24.050999999999998</v>
      </c>
    </row>
    <row r="1321" spans="1:2" x14ac:dyDescent="0.25">
      <c r="A1321" s="8">
        <v>45565</v>
      </c>
      <c r="B1321">
        <v>24.948899999999998</v>
      </c>
    </row>
    <row r="1322" spans="1:2" x14ac:dyDescent="0.25">
      <c r="A1322" s="8">
        <v>45596</v>
      </c>
      <c r="B1322">
        <v>25.780100000000001</v>
      </c>
    </row>
    <row r="1323" spans="1:2" x14ac:dyDescent="0.25">
      <c r="A1323" s="8">
        <v>45625</v>
      </c>
      <c r="B1323">
        <v>27.529800000000002</v>
      </c>
    </row>
    <row r="1324" spans="1:2" x14ac:dyDescent="0.25">
      <c r="A1324" s="8">
        <v>45657</v>
      </c>
      <c r="B1324">
        <v>25.352799999999998</v>
      </c>
    </row>
    <row r="1325" spans="1:2" x14ac:dyDescent="0.25">
      <c r="A1325" s="8">
        <v>45688</v>
      </c>
      <c r="B1325">
        <v>26.622399999999999</v>
      </c>
    </row>
    <row r="1326" spans="1:2" x14ac:dyDescent="0.25">
      <c r="A1326" s="8">
        <v>45716</v>
      </c>
      <c r="B1326">
        <v>23.1524</v>
      </c>
    </row>
    <row r="1327" spans="1:2" x14ac:dyDescent="0.25">
      <c r="A1327" s="8">
        <v>45747</v>
      </c>
      <c r="B1327">
        <v>22.398900000000001</v>
      </c>
    </row>
    <row r="1328" spans="1:2" x14ac:dyDescent="0.25">
      <c r="A1328" s="8">
        <v>45777</v>
      </c>
      <c r="B1328">
        <v>23.177299999999999</v>
      </c>
    </row>
    <row r="1329" spans="1:2" x14ac:dyDescent="0.25">
      <c r="A1329" s="8">
        <v>45807</v>
      </c>
      <c r="B1329">
        <v>25.210799999999999</v>
      </c>
    </row>
    <row r="1330" spans="1:2" x14ac:dyDescent="0.25">
      <c r="A1330" s="8">
        <v>45838</v>
      </c>
      <c r="B1330">
        <v>25.9465</v>
      </c>
    </row>
    <row r="1331" spans="1:2" x14ac:dyDescent="0.25">
      <c r="A1331" s="8">
        <v>45869</v>
      </c>
      <c r="B1331">
        <v>26.834800000000001</v>
      </c>
    </row>
    <row r="1332" spans="1:2" x14ac:dyDescent="0.25">
      <c r="A1332" s="8">
        <v>45898</v>
      </c>
      <c r="B1332">
        <v>26.648800000000001</v>
      </c>
    </row>
    <row r="1333" spans="1:2" x14ac:dyDescent="0.25">
      <c r="A1333" s="8">
        <v>45930</v>
      </c>
      <c r="B1333">
        <v>27.2469</v>
      </c>
    </row>
    <row r="1334" spans="1:2" x14ac:dyDescent="0.25">
      <c r="A1334" s="8">
        <v>45961</v>
      </c>
      <c r="B1334">
        <v>27.881</v>
      </c>
    </row>
    <row r="1335" spans="1:2" x14ac:dyDescent="0.25">
      <c r="A1335" s="8">
        <v>45989</v>
      </c>
      <c r="B1335">
        <v>27.0899</v>
      </c>
    </row>
    <row r="1336" spans="1:2" x14ac:dyDescent="0.25">
      <c r="A1336" s="8">
        <v>46022</v>
      </c>
      <c r="B1336">
        <v>27.345400000000001</v>
      </c>
    </row>
    <row r="1337" spans="1:2" x14ac:dyDescent="0.25">
      <c r="A1337" s="8">
        <v>46052</v>
      </c>
      <c r="B1337">
        <v>29.775200000000002</v>
      </c>
    </row>
    <row r="1351" spans="1:4" x14ac:dyDescent="0.25">
      <c r="A1351" s="6" t="s">
        <v>335</v>
      </c>
      <c r="B1351" s="6" t="s">
        <v>336</v>
      </c>
      <c r="C1351" s="6" t="s">
        <v>337</v>
      </c>
      <c r="D1351" s="6" t="s">
        <v>307</v>
      </c>
    </row>
    <row r="1352" spans="1:4" x14ac:dyDescent="0.25">
      <c r="A1352" s="8">
        <f ca="1">_xll.BDH("S5COND Index","BEST_PE_RATIO","02/01/2016",TODAY(),"Per=M","cols=2;rows=121")</f>
        <v>42398</v>
      </c>
      <c r="B1352">
        <v>19.482099999999999</v>
      </c>
    </row>
    <row r="1353" spans="1:4" x14ac:dyDescent="0.25">
      <c r="A1353" s="8">
        <v>42429</v>
      </c>
      <c r="B1353">
        <v>17.694800000000001</v>
      </c>
    </row>
    <row r="1354" spans="1:4" x14ac:dyDescent="0.25">
      <c r="A1354" s="8">
        <v>42460</v>
      </c>
      <c r="B1354">
        <v>18.769500000000001</v>
      </c>
    </row>
    <row r="1355" spans="1:4" x14ac:dyDescent="0.25">
      <c r="A1355" s="8">
        <v>42489</v>
      </c>
      <c r="B1355">
        <v>18.570799999999998</v>
      </c>
    </row>
    <row r="1356" spans="1:4" x14ac:dyDescent="0.25">
      <c r="A1356" s="8">
        <v>42521</v>
      </c>
      <c r="B1356">
        <v>18.434799999999999</v>
      </c>
    </row>
    <row r="1357" spans="1:4" x14ac:dyDescent="0.25">
      <c r="A1357" s="8">
        <v>42551</v>
      </c>
      <c r="B1357">
        <v>18.129799999999999</v>
      </c>
    </row>
    <row r="1358" spans="1:4" x14ac:dyDescent="0.25">
      <c r="A1358" s="8">
        <v>42580</v>
      </c>
      <c r="B1358">
        <v>18.9603</v>
      </c>
    </row>
    <row r="1359" spans="1:4" x14ac:dyDescent="0.25">
      <c r="A1359" s="8">
        <v>42613</v>
      </c>
      <c r="B1359">
        <v>18.749199999999998</v>
      </c>
    </row>
    <row r="1360" spans="1:4" x14ac:dyDescent="0.25">
      <c r="A1360" s="8">
        <v>42643</v>
      </c>
      <c r="B1360">
        <v>19.135200000000001</v>
      </c>
    </row>
    <row r="1361" spans="1:2" x14ac:dyDescent="0.25">
      <c r="A1361" s="8">
        <v>42674</v>
      </c>
      <c r="B1361">
        <v>18.658300000000001</v>
      </c>
    </row>
    <row r="1362" spans="1:2" x14ac:dyDescent="0.25">
      <c r="A1362" s="8">
        <v>42704</v>
      </c>
      <c r="B1362">
        <v>19.422799999999999</v>
      </c>
    </row>
    <row r="1363" spans="1:2" x14ac:dyDescent="0.25">
      <c r="A1363" s="8">
        <v>42734</v>
      </c>
      <c r="B1363">
        <v>19.079699999999999</v>
      </c>
    </row>
    <row r="1364" spans="1:2" x14ac:dyDescent="0.25">
      <c r="A1364" s="8">
        <v>42766</v>
      </c>
      <c r="B1364">
        <v>19.859500000000001</v>
      </c>
    </row>
    <row r="1365" spans="1:2" x14ac:dyDescent="0.25">
      <c r="A1365" s="8">
        <v>42794</v>
      </c>
      <c r="B1365">
        <v>19.805</v>
      </c>
    </row>
    <row r="1366" spans="1:2" x14ac:dyDescent="0.25">
      <c r="A1366" s="8">
        <v>42825</v>
      </c>
      <c r="B1366">
        <v>20.147400000000001</v>
      </c>
    </row>
    <row r="1367" spans="1:2" x14ac:dyDescent="0.25">
      <c r="A1367" s="8">
        <v>42853</v>
      </c>
      <c r="B1367">
        <v>20.561</v>
      </c>
    </row>
    <row r="1368" spans="1:2" x14ac:dyDescent="0.25">
      <c r="A1368" s="8">
        <v>42886</v>
      </c>
      <c r="B1368">
        <v>20.766100000000002</v>
      </c>
    </row>
    <row r="1369" spans="1:2" x14ac:dyDescent="0.25">
      <c r="A1369" s="8">
        <v>42916</v>
      </c>
      <c r="B1369">
        <v>20.493099999999998</v>
      </c>
    </row>
    <row r="1370" spans="1:2" x14ac:dyDescent="0.25">
      <c r="A1370" s="8">
        <v>42947</v>
      </c>
      <c r="B1370">
        <v>20.796500000000002</v>
      </c>
    </row>
    <row r="1371" spans="1:2" x14ac:dyDescent="0.25">
      <c r="A1371" s="8">
        <v>42978</v>
      </c>
      <c r="B1371">
        <v>20.350000000000001</v>
      </c>
    </row>
    <row r="1372" spans="1:2" x14ac:dyDescent="0.25">
      <c r="A1372" s="8">
        <v>43007</v>
      </c>
      <c r="B1372">
        <v>20.433599999999998</v>
      </c>
    </row>
    <row r="1373" spans="1:2" x14ac:dyDescent="0.25">
      <c r="A1373" s="8">
        <v>43039</v>
      </c>
      <c r="B1373">
        <v>20.928000000000001</v>
      </c>
    </row>
    <row r="1374" spans="1:2" x14ac:dyDescent="0.25">
      <c r="A1374" s="8">
        <v>43069</v>
      </c>
      <c r="B1374">
        <v>22.105</v>
      </c>
    </row>
    <row r="1375" spans="1:2" x14ac:dyDescent="0.25">
      <c r="A1375" s="8">
        <v>43098</v>
      </c>
      <c r="B1375">
        <v>22.448799999999999</v>
      </c>
    </row>
    <row r="1376" spans="1:2" x14ac:dyDescent="0.25">
      <c r="A1376" s="8">
        <v>43131</v>
      </c>
      <c r="B1376">
        <v>24.7212</v>
      </c>
    </row>
    <row r="1377" spans="1:2" x14ac:dyDescent="0.25">
      <c r="A1377" s="8">
        <v>43159</v>
      </c>
      <c r="B1377">
        <v>20.660399999999999</v>
      </c>
    </row>
    <row r="1378" spans="1:2" x14ac:dyDescent="0.25">
      <c r="A1378" s="8">
        <v>43189</v>
      </c>
      <c r="B1378">
        <v>20.1952</v>
      </c>
    </row>
    <row r="1379" spans="1:2" x14ac:dyDescent="0.25">
      <c r="A1379" s="8">
        <v>43220</v>
      </c>
      <c r="B1379">
        <v>20.374700000000001</v>
      </c>
    </row>
    <row r="1380" spans="1:2" x14ac:dyDescent="0.25">
      <c r="A1380" s="8">
        <v>43251</v>
      </c>
      <c r="B1380">
        <v>20.850200000000001</v>
      </c>
    </row>
    <row r="1381" spans="1:2" x14ac:dyDescent="0.25">
      <c r="A1381" s="8">
        <v>43280</v>
      </c>
      <c r="B1381">
        <v>21.384899999999998</v>
      </c>
    </row>
    <row r="1382" spans="1:2" x14ac:dyDescent="0.25">
      <c r="A1382" s="8">
        <v>43312</v>
      </c>
      <c r="B1382">
        <v>21.638000000000002</v>
      </c>
    </row>
    <row r="1383" spans="1:2" x14ac:dyDescent="0.25">
      <c r="A1383" s="8">
        <v>43343</v>
      </c>
      <c r="B1383">
        <v>22.706299999999999</v>
      </c>
    </row>
    <row r="1384" spans="1:2" x14ac:dyDescent="0.25">
      <c r="A1384" s="8">
        <v>43371</v>
      </c>
      <c r="B1384">
        <v>23.2408</v>
      </c>
    </row>
    <row r="1385" spans="1:2" x14ac:dyDescent="0.25">
      <c r="A1385" s="8">
        <v>43404</v>
      </c>
      <c r="B1385">
        <v>20.546900000000001</v>
      </c>
    </row>
    <row r="1386" spans="1:2" x14ac:dyDescent="0.25">
      <c r="A1386" s="8">
        <v>43434</v>
      </c>
      <c r="B1386">
        <v>20.908000000000001</v>
      </c>
    </row>
    <row r="1387" spans="1:2" x14ac:dyDescent="0.25">
      <c r="A1387" s="8">
        <v>43465</v>
      </c>
      <c r="B1387">
        <v>18.970500000000001</v>
      </c>
    </row>
    <row r="1388" spans="1:2" x14ac:dyDescent="0.25">
      <c r="A1388" s="8">
        <v>43496</v>
      </c>
      <c r="B1388">
        <v>21.6996</v>
      </c>
    </row>
    <row r="1389" spans="1:2" x14ac:dyDescent="0.25">
      <c r="A1389" s="8">
        <v>43524</v>
      </c>
      <c r="B1389">
        <v>19.982099999999999</v>
      </c>
    </row>
    <row r="1390" spans="1:2" x14ac:dyDescent="0.25">
      <c r="A1390" s="8">
        <v>43553</v>
      </c>
      <c r="B1390">
        <v>20.867699999999999</v>
      </c>
    </row>
    <row r="1391" spans="1:2" x14ac:dyDescent="0.25">
      <c r="A1391" s="8">
        <v>43585</v>
      </c>
      <c r="B1391">
        <v>21.753599999999999</v>
      </c>
    </row>
    <row r="1392" spans="1:2" x14ac:dyDescent="0.25">
      <c r="A1392" s="8">
        <v>43616</v>
      </c>
      <c r="B1392">
        <v>20.2242</v>
      </c>
    </row>
    <row r="1393" spans="1:2" x14ac:dyDescent="0.25">
      <c r="A1393" s="8">
        <v>43644</v>
      </c>
      <c r="B1393">
        <v>21.579899999999999</v>
      </c>
    </row>
    <row r="1394" spans="1:2" x14ac:dyDescent="0.25">
      <c r="A1394" s="8">
        <v>43677</v>
      </c>
      <c r="B1394">
        <v>21.9251</v>
      </c>
    </row>
    <row r="1395" spans="1:2" x14ac:dyDescent="0.25">
      <c r="A1395" s="8">
        <v>43707</v>
      </c>
      <c r="B1395">
        <v>21.662400000000002</v>
      </c>
    </row>
    <row r="1396" spans="1:2" x14ac:dyDescent="0.25">
      <c r="A1396" s="8">
        <v>43738</v>
      </c>
      <c r="B1396">
        <v>21.8444</v>
      </c>
    </row>
    <row r="1397" spans="1:2" x14ac:dyDescent="0.25">
      <c r="A1397" s="8">
        <v>43769</v>
      </c>
      <c r="B1397">
        <v>22.637499999999999</v>
      </c>
    </row>
    <row r="1398" spans="1:2" x14ac:dyDescent="0.25">
      <c r="A1398" s="8">
        <v>43798</v>
      </c>
      <c r="B1398">
        <v>22.942399999999999</v>
      </c>
    </row>
    <row r="1399" spans="1:2" x14ac:dyDescent="0.25">
      <c r="A1399" s="8">
        <v>43830</v>
      </c>
      <c r="B1399">
        <v>23.421199999999999</v>
      </c>
    </row>
    <row r="1400" spans="1:2" x14ac:dyDescent="0.25">
      <c r="A1400" s="8">
        <v>43861</v>
      </c>
      <c r="B1400">
        <v>24.554099999999998</v>
      </c>
    </row>
    <row r="1401" spans="1:2" x14ac:dyDescent="0.25">
      <c r="A1401" s="8">
        <v>43889</v>
      </c>
      <c r="B1401">
        <v>23.063300000000002</v>
      </c>
    </row>
    <row r="1402" spans="1:2" x14ac:dyDescent="0.25">
      <c r="A1402" s="8">
        <v>43921</v>
      </c>
      <c r="B1402">
        <v>22.889600000000002</v>
      </c>
    </row>
    <row r="1403" spans="1:2" x14ac:dyDescent="0.25">
      <c r="A1403" s="8">
        <v>43951</v>
      </c>
      <c r="B1403">
        <v>38.984699999999997</v>
      </c>
    </row>
    <row r="1404" spans="1:2" x14ac:dyDescent="0.25">
      <c r="A1404" s="8">
        <v>43980</v>
      </c>
      <c r="B1404">
        <v>53.076000000000001</v>
      </c>
    </row>
    <row r="1405" spans="1:2" x14ac:dyDescent="0.25">
      <c r="A1405" s="8">
        <v>44012</v>
      </c>
      <c r="B1405">
        <v>57.200699999999998</v>
      </c>
    </row>
    <row r="1406" spans="1:2" x14ac:dyDescent="0.25">
      <c r="A1406" s="8">
        <v>44043</v>
      </c>
      <c r="B1406">
        <v>51.664999999999999</v>
      </c>
    </row>
    <row r="1407" spans="1:2" x14ac:dyDescent="0.25">
      <c r="A1407" s="8">
        <v>44074</v>
      </c>
      <c r="B1407">
        <v>52.662399999999998</v>
      </c>
    </row>
    <row r="1408" spans="1:2" x14ac:dyDescent="0.25">
      <c r="A1408" s="8">
        <v>44104</v>
      </c>
      <c r="B1408">
        <v>49.429099999999998</v>
      </c>
    </row>
    <row r="1409" spans="1:2" x14ac:dyDescent="0.25">
      <c r="A1409" s="8">
        <v>44134</v>
      </c>
      <c r="B1409">
        <v>45.421500000000002</v>
      </c>
    </row>
    <row r="1410" spans="1:2" x14ac:dyDescent="0.25">
      <c r="A1410" s="8">
        <v>44165</v>
      </c>
      <c r="B1410">
        <v>46.146900000000002</v>
      </c>
    </row>
    <row r="1411" spans="1:2" x14ac:dyDescent="0.25">
      <c r="A1411" s="8">
        <v>44196</v>
      </c>
      <c r="B1411">
        <v>53.232900000000001</v>
      </c>
    </row>
    <row r="1412" spans="1:2" x14ac:dyDescent="0.25">
      <c r="A1412" s="8">
        <v>44225</v>
      </c>
      <c r="B1412">
        <v>54.442799999999998</v>
      </c>
    </row>
    <row r="1413" spans="1:2" x14ac:dyDescent="0.25">
      <c r="A1413" s="8">
        <v>44253</v>
      </c>
      <c r="B1413">
        <v>33.009700000000002</v>
      </c>
    </row>
    <row r="1414" spans="1:2" x14ac:dyDescent="0.25">
      <c r="A1414" s="8">
        <v>44286</v>
      </c>
      <c r="B1414">
        <v>34.947600000000001</v>
      </c>
    </row>
    <row r="1415" spans="1:2" x14ac:dyDescent="0.25">
      <c r="A1415" s="8">
        <v>44316</v>
      </c>
      <c r="B1415">
        <v>36.2408</v>
      </c>
    </row>
    <row r="1416" spans="1:2" x14ac:dyDescent="0.25">
      <c r="A1416" s="8">
        <v>44347</v>
      </c>
      <c r="B1416">
        <v>33.141399999999997</v>
      </c>
    </row>
    <row r="1417" spans="1:2" x14ac:dyDescent="0.25">
      <c r="A1417" s="8">
        <v>44377</v>
      </c>
      <c r="B1417">
        <v>33.552100000000003</v>
      </c>
    </row>
    <row r="1418" spans="1:2" x14ac:dyDescent="0.25">
      <c r="A1418" s="8">
        <v>44407</v>
      </c>
      <c r="B1418">
        <v>32.4131</v>
      </c>
    </row>
    <row r="1419" spans="1:2" x14ac:dyDescent="0.25">
      <c r="A1419" s="8">
        <v>44439</v>
      </c>
      <c r="B1419">
        <v>32.921700000000001</v>
      </c>
    </row>
    <row r="1420" spans="1:2" x14ac:dyDescent="0.25">
      <c r="A1420" s="8">
        <v>44469</v>
      </c>
      <c r="B1420">
        <v>32.520699999999998</v>
      </c>
    </row>
    <row r="1421" spans="1:2" x14ac:dyDescent="0.25">
      <c r="A1421" s="8">
        <v>44498</v>
      </c>
      <c r="B1421">
        <v>36.795999999999999</v>
      </c>
    </row>
    <row r="1422" spans="1:2" x14ac:dyDescent="0.25">
      <c r="A1422" s="8">
        <v>44530</v>
      </c>
      <c r="B1422">
        <v>37.016300000000001</v>
      </c>
    </row>
    <row r="1423" spans="1:2" x14ac:dyDescent="0.25">
      <c r="A1423" s="8">
        <v>44561</v>
      </c>
      <c r="B1423">
        <v>36.6723</v>
      </c>
    </row>
    <row r="1424" spans="1:2" x14ac:dyDescent="0.25">
      <c r="A1424" s="8">
        <v>44592</v>
      </c>
      <c r="B1424">
        <v>33.520499999999998</v>
      </c>
    </row>
    <row r="1425" spans="1:2" x14ac:dyDescent="0.25">
      <c r="A1425" s="8">
        <v>44620</v>
      </c>
      <c r="B1425">
        <v>26.213699999999999</v>
      </c>
    </row>
    <row r="1426" spans="1:2" x14ac:dyDescent="0.25">
      <c r="A1426" s="8">
        <v>44651</v>
      </c>
      <c r="B1426">
        <v>27.673400000000001</v>
      </c>
    </row>
    <row r="1427" spans="1:2" x14ac:dyDescent="0.25">
      <c r="A1427" s="8">
        <v>44680</v>
      </c>
      <c r="B1427">
        <v>25.201000000000001</v>
      </c>
    </row>
    <row r="1428" spans="1:2" x14ac:dyDescent="0.25">
      <c r="A1428" s="8">
        <v>44712</v>
      </c>
      <c r="B1428">
        <v>24.767399999999999</v>
      </c>
    </row>
    <row r="1429" spans="1:2" x14ac:dyDescent="0.25">
      <c r="A1429" s="8">
        <v>44742</v>
      </c>
      <c r="B1429">
        <v>22.7623</v>
      </c>
    </row>
    <row r="1430" spans="1:2" x14ac:dyDescent="0.25">
      <c r="A1430" s="8">
        <v>44771</v>
      </c>
      <c r="B1430">
        <v>27.637499999999999</v>
      </c>
    </row>
    <row r="1431" spans="1:2" x14ac:dyDescent="0.25">
      <c r="A1431" s="8">
        <v>44804</v>
      </c>
      <c r="B1431">
        <v>26.811399999999999</v>
      </c>
    </row>
    <row r="1432" spans="1:2" x14ac:dyDescent="0.25">
      <c r="A1432" s="8">
        <v>44834</v>
      </c>
      <c r="B1432">
        <v>25.183</v>
      </c>
    </row>
    <row r="1433" spans="1:2" x14ac:dyDescent="0.25">
      <c r="A1433" s="8">
        <v>44865</v>
      </c>
      <c r="B1433">
        <v>25.331800000000001</v>
      </c>
    </row>
    <row r="1434" spans="1:2" x14ac:dyDescent="0.25">
      <c r="A1434" s="8">
        <v>44895</v>
      </c>
      <c r="B1434">
        <v>26.074400000000001</v>
      </c>
    </row>
    <row r="1435" spans="1:2" x14ac:dyDescent="0.25">
      <c r="A1435" s="8">
        <v>44925</v>
      </c>
      <c r="B1435">
        <v>23.323899999999998</v>
      </c>
    </row>
    <row r="1436" spans="1:2" x14ac:dyDescent="0.25">
      <c r="A1436" s="8">
        <v>44957</v>
      </c>
      <c r="B1436">
        <v>27.582599999999999</v>
      </c>
    </row>
    <row r="1437" spans="1:2" x14ac:dyDescent="0.25">
      <c r="A1437" s="8">
        <v>44985</v>
      </c>
      <c r="B1437">
        <v>23.152799999999999</v>
      </c>
    </row>
    <row r="1438" spans="1:2" x14ac:dyDescent="0.25">
      <c r="A1438" s="8">
        <v>45016</v>
      </c>
      <c r="B1438">
        <v>24.149799999999999</v>
      </c>
    </row>
    <row r="1439" spans="1:2" x14ac:dyDescent="0.25">
      <c r="A1439" s="8">
        <v>45044</v>
      </c>
      <c r="B1439">
        <v>23.690999999999999</v>
      </c>
    </row>
    <row r="1440" spans="1:2" x14ac:dyDescent="0.25">
      <c r="A1440" s="8">
        <v>45077</v>
      </c>
      <c r="B1440">
        <v>24.709700000000002</v>
      </c>
    </row>
    <row r="1441" spans="1:2" x14ac:dyDescent="0.25">
      <c r="A1441" s="8">
        <v>45107</v>
      </c>
      <c r="B1441">
        <v>27.3429</v>
      </c>
    </row>
    <row r="1442" spans="1:2" x14ac:dyDescent="0.25">
      <c r="A1442" s="8">
        <v>45138</v>
      </c>
      <c r="B1442">
        <v>27.465</v>
      </c>
    </row>
    <row r="1443" spans="1:2" x14ac:dyDescent="0.25">
      <c r="A1443" s="8">
        <v>45169</v>
      </c>
      <c r="B1443">
        <v>25.771899999999999</v>
      </c>
    </row>
    <row r="1444" spans="1:2" x14ac:dyDescent="0.25">
      <c r="A1444" s="8">
        <v>45198</v>
      </c>
      <c r="B1444">
        <v>24.371400000000001</v>
      </c>
    </row>
    <row r="1445" spans="1:2" x14ac:dyDescent="0.25">
      <c r="A1445" s="8">
        <v>45230</v>
      </c>
      <c r="B1445">
        <v>23.394200000000001</v>
      </c>
    </row>
    <row r="1446" spans="1:2" x14ac:dyDescent="0.25">
      <c r="A1446" s="8">
        <v>45260</v>
      </c>
      <c r="B1446">
        <v>25.236899999999999</v>
      </c>
    </row>
    <row r="1447" spans="1:2" x14ac:dyDescent="0.25">
      <c r="A1447" s="8">
        <v>45289</v>
      </c>
      <c r="B1447">
        <v>26.5412</v>
      </c>
    </row>
    <row r="1448" spans="1:2" x14ac:dyDescent="0.25">
      <c r="A1448" s="8">
        <v>45322</v>
      </c>
      <c r="B1448">
        <v>25.2685</v>
      </c>
    </row>
    <row r="1449" spans="1:2" x14ac:dyDescent="0.25">
      <c r="A1449" s="8">
        <v>45351</v>
      </c>
      <c r="B1449">
        <v>25.338899999999999</v>
      </c>
    </row>
    <row r="1450" spans="1:2" x14ac:dyDescent="0.25">
      <c r="A1450" s="8">
        <v>45380</v>
      </c>
      <c r="B1450">
        <v>25.477699999999999</v>
      </c>
    </row>
    <row r="1451" spans="1:2" x14ac:dyDescent="0.25">
      <c r="A1451" s="8">
        <v>45412</v>
      </c>
      <c r="B1451">
        <v>24.1142</v>
      </c>
    </row>
    <row r="1452" spans="1:2" x14ac:dyDescent="0.25">
      <c r="A1452" s="8">
        <v>45443</v>
      </c>
      <c r="B1452">
        <v>23.7911</v>
      </c>
    </row>
    <row r="1453" spans="1:2" x14ac:dyDescent="0.25">
      <c r="A1453" s="8">
        <v>45471</v>
      </c>
      <c r="B1453">
        <v>24.891300000000001</v>
      </c>
    </row>
    <row r="1454" spans="1:2" x14ac:dyDescent="0.25">
      <c r="A1454" s="8">
        <v>45504</v>
      </c>
      <c r="B1454">
        <v>24.939499999999999</v>
      </c>
    </row>
    <row r="1455" spans="1:2" x14ac:dyDescent="0.25">
      <c r="A1455" s="8">
        <v>45534</v>
      </c>
      <c r="B1455">
        <v>24.389399999999998</v>
      </c>
    </row>
    <row r="1456" spans="1:2" x14ac:dyDescent="0.25">
      <c r="A1456" s="8">
        <v>45565</v>
      </c>
      <c r="B1456">
        <v>26.097999999999999</v>
      </c>
    </row>
    <row r="1457" spans="1:2" x14ac:dyDescent="0.25">
      <c r="A1457" s="8">
        <v>45596</v>
      </c>
      <c r="B1457">
        <v>25.550999999999998</v>
      </c>
    </row>
    <row r="1458" spans="1:2" x14ac:dyDescent="0.25">
      <c r="A1458" s="8">
        <v>45625</v>
      </c>
      <c r="B1458">
        <v>28.213200000000001</v>
      </c>
    </row>
    <row r="1459" spans="1:2" x14ac:dyDescent="0.25">
      <c r="A1459" s="8">
        <v>45657</v>
      </c>
      <c r="B1459">
        <v>28.625599999999999</v>
      </c>
    </row>
    <row r="1460" spans="1:2" x14ac:dyDescent="0.25">
      <c r="A1460" s="8">
        <v>45688</v>
      </c>
      <c r="B1460">
        <v>29.194099999999999</v>
      </c>
    </row>
    <row r="1461" spans="1:2" x14ac:dyDescent="0.25">
      <c r="A1461" s="8">
        <v>45716</v>
      </c>
      <c r="B1461">
        <v>25.644600000000001</v>
      </c>
    </row>
    <row r="1462" spans="1:2" x14ac:dyDescent="0.25">
      <c r="A1462" s="8">
        <v>45747</v>
      </c>
      <c r="B1462">
        <v>23.613600000000002</v>
      </c>
    </row>
    <row r="1463" spans="1:2" x14ac:dyDescent="0.25">
      <c r="A1463" s="8">
        <v>45777</v>
      </c>
      <c r="B1463">
        <v>24.4544</v>
      </c>
    </row>
    <row r="1464" spans="1:2" x14ac:dyDescent="0.25">
      <c r="A1464" s="8">
        <v>45807</v>
      </c>
      <c r="B1464">
        <v>27.041599999999999</v>
      </c>
    </row>
    <row r="1465" spans="1:2" x14ac:dyDescent="0.25">
      <c r="A1465" s="8">
        <v>45838</v>
      </c>
      <c r="B1465">
        <v>27.52</v>
      </c>
    </row>
    <row r="1466" spans="1:2" x14ac:dyDescent="0.25">
      <c r="A1466" s="8">
        <v>45869</v>
      </c>
      <c r="B1466">
        <v>27.754899999999999</v>
      </c>
    </row>
    <row r="1467" spans="1:2" x14ac:dyDescent="0.25">
      <c r="A1467" s="8">
        <v>45898</v>
      </c>
      <c r="B1467">
        <v>28.6279</v>
      </c>
    </row>
    <row r="1468" spans="1:2" x14ac:dyDescent="0.25">
      <c r="A1468" s="8">
        <v>45930</v>
      </c>
      <c r="B1468">
        <v>29.474399999999999</v>
      </c>
    </row>
    <row r="1469" spans="1:2" x14ac:dyDescent="0.25">
      <c r="A1469" s="8">
        <v>45961</v>
      </c>
      <c r="B1469">
        <v>29.594799999999999</v>
      </c>
    </row>
    <row r="1470" spans="1:2" x14ac:dyDescent="0.25">
      <c r="A1470" s="8">
        <v>45989</v>
      </c>
      <c r="B1470">
        <v>28.667000000000002</v>
      </c>
    </row>
    <row r="1471" spans="1:2" x14ac:dyDescent="0.25">
      <c r="A1471" s="8">
        <v>46022</v>
      </c>
      <c r="B1471">
        <v>29.2102</v>
      </c>
    </row>
    <row r="1472" spans="1:2" x14ac:dyDescent="0.25">
      <c r="A1472" s="8">
        <v>46052</v>
      </c>
      <c r="B1472">
        <v>29.084</v>
      </c>
    </row>
    <row r="1486" spans="1:4" x14ac:dyDescent="0.25">
      <c r="A1486" s="6" t="s">
        <v>338</v>
      </c>
      <c r="B1486" s="6" t="s">
        <v>339</v>
      </c>
      <c r="C1486" s="6" t="s">
        <v>340</v>
      </c>
      <c r="D1486" s="6" t="s">
        <v>307</v>
      </c>
    </row>
    <row r="1487" spans="1:4" x14ac:dyDescent="0.25">
      <c r="A1487" s="8">
        <f ca="1">_xll.BDH("S5CONS Index","BEST_PE_RATIO","02/01/2016",TODAY(),"Per=M","cols=2;rows=121")</f>
        <v>42398</v>
      </c>
      <c r="B1487">
        <v>20.838100000000001</v>
      </c>
    </row>
    <row r="1488" spans="1:4" x14ac:dyDescent="0.25">
      <c r="A1488" s="8">
        <v>42429</v>
      </c>
      <c r="B1488">
        <v>20.585699999999999</v>
      </c>
    </row>
    <row r="1489" spans="1:2" x14ac:dyDescent="0.25">
      <c r="A1489" s="8">
        <v>42460</v>
      </c>
      <c r="B1489">
        <v>21.422000000000001</v>
      </c>
    </row>
    <row r="1490" spans="1:2" x14ac:dyDescent="0.25">
      <c r="A1490" s="8">
        <v>42489</v>
      </c>
      <c r="B1490">
        <v>21.048999999999999</v>
      </c>
    </row>
    <row r="1491" spans="1:2" x14ac:dyDescent="0.25">
      <c r="A1491" s="8">
        <v>42521</v>
      </c>
      <c r="B1491">
        <v>21.113900000000001</v>
      </c>
    </row>
    <row r="1492" spans="1:2" x14ac:dyDescent="0.25">
      <c r="A1492" s="8">
        <v>42551</v>
      </c>
      <c r="B1492">
        <v>21.96</v>
      </c>
    </row>
    <row r="1493" spans="1:2" x14ac:dyDescent="0.25">
      <c r="A1493" s="8">
        <v>42580</v>
      </c>
      <c r="B1493">
        <v>21.785799999999998</v>
      </c>
    </row>
    <row r="1494" spans="1:2" x14ac:dyDescent="0.25">
      <c r="A1494" s="8">
        <v>42613</v>
      </c>
      <c r="B1494">
        <v>21.691199999999998</v>
      </c>
    </row>
    <row r="1495" spans="1:2" x14ac:dyDescent="0.25">
      <c r="A1495" s="8">
        <v>42643</v>
      </c>
      <c r="B1495">
        <v>21.210799999999999</v>
      </c>
    </row>
    <row r="1496" spans="1:2" x14ac:dyDescent="0.25">
      <c r="A1496" s="8">
        <v>42674</v>
      </c>
      <c r="B1496">
        <v>21.0062</v>
      </c>
    </row>
    <row r="1497" spans="1:2" x14ac:dyDescent="0.25">
      <c r="A1497" s="8">
        <v>42704</v>
      </c>
      <c r="B1497">
        <v>20.040199999999999</v>
      </c>
    </row>
    <row r="1498" spans="1:2" x14ac:dyDescent="0.25">
      <c r="A1498" s="8">
        <v>42734</v>
      </c>
      <c r="B1498">
        <v>20.592199999999998</v>
      </c>
    </row>
    <row r="1499" spans="1:2" x14ac:dyDescent="0.25">
      <c r="A1499" s="8">
        <v>42766</v>
      </c>
      <c r="B1499">
        <v>20.89</v>
      </c>
    </row>
    <row r="1500" spans="1:2" x14ac:dyDescent="0.25">
      <c r="A1500" s="8">
        <v>42794</v>
      </c>
      <c r="B1500">
        <v>20.8874</v>
      </c>
    </row>
    <row r="1501" spans="1:2" x14ac:dyDescent="0.25">
      <c r="A1501" s="8">
        <v>42825</v>
      </c>
      <c r="B1501">
        <v>20.557500000000001</v>
      </c>
    </row>
    <row r="1502" spans="1:2" x14ac:dyDescent="0.25">
      <c r="A1502" s="8">
        <v>42853</v>
      </c>
      <c r="B1502">
        <v>20.772500000000001</v>
      </c>
    </row>
    <row r="1503" spans="1:2" x14ac:dyDescent="0.25">
      <c r="A1503" s="8">
        <v>42886</v>
      </c>
      <c r="B1503">
        <v>21.374600000000001</v>
      </c>
    </row>
    <row r="1504" spans="1:2" x14ac:dyDescent="0.25">
      <c r="A1504" s="8">
        <v>42916</v>
      </c>
      <c r="B1504">
        <v>20.7288</v>
      </c>
    </row>
    <row r="1505" spans="1:2" x14ac:dyDescent="0.25">
      <c r="A1505" s="8">
        <v>42947</v>
      </c>
      <c r="B1505">
        <v>20.7254</v>
      </c>
    </row>
    <row r="1506" spans="1:2" x14ac:dyDescent="0.25">
      <c r="A1506" s="8">
        <v>42978</v>
      </c>
      <c r="B1506">
        <v>20.588899999999999</v>
      </c>
    </row>
    <row r="1507" spans="1:2" x14ac:dyDescent="0.25">
      <c r="A1507" s="8">
        <v>43007</v>
      </c>
      <c r="B1507">
        <v>20.257999999999999</v>
      </c>
    </row>
    <row r="1508" spans="1:2" x14ac:dyDescent="0.25">
      <c r="A1508" s="8">
        <v>43039</v>
      </c>
      <c r="B1508">
        <v>19.987300000000001</v>
      </c>
    </row>
    <row r="1509" spans="1:2" x14ac:dyDescent="0.25">
      <c r="A1509" s="8">
        <v>43069</v>
      </c>
      <c r="B1509">
        <v>21.006599999999999</v>
      </c>
    </row>
    <row r="1510" spans="1:2" x14ac:dyDescent="0.25">
      <c r="A1510" s="8">
        <v>43098</v>
      </c>
      <c r="B1510">
        <v>21.334900000000001</v>
      </c>
    </row>
    <row r="1511" spans="1:2" x14ac:dyDescent="0.25">
      <c r="A1511" s="8">
        <v>43131</v>
      </c>
      <c r="B1511">
        <v>21.608899999999998</v>
      </c>
    </row>
    <row r="1512" spans="1:2" x14ac:dyDescent="0.25">
      <c r="A1512" s="8">
        <v>43159</v>
      </c>
      <c r="B1512">
        <v>19.754200000000001</v>
      </c>
    </row>
    <row r="1513" spans="1:2" x14ac:dyDescent="0.25">
      <c r="A1513" s="8">
        <v>43189</v>
      </c>
      <c r="B1513">
        <v>17.525400000000001</v>
      </c>
    </row>
    <row r="1514" spans="1:2" x14ac:dyDescent="0.25">
      <c r="A1514" s="8">
        <v>43220</v>
      </c>
      <c r="B1514">
        <v>16.769400000000001</v>
      </c>
    </row>
    <row r="1515" spans="1:2" x14ac:dyDescent="0.25">
      <c r="A1515" s="8">
        <v>43251</v>
      </c>
      <c r="B1515">
        <v>16.909199999999998</v>
      </c>
    </row>
    <row r="1516" spans="1:2" x14ac:dyDescent="0.25">
      <c r="A1516" s="8">
        <v>43280</v>
      </c>
      <c r="B1516">
        <v>17.672699999999999</v>
      </c>
    </row>
    <row r="1517" spans="1:2" x14ac:dyDescent="0.25">
      <c r="A1517" s="8">
        <v>43312</v>
      </c>
      <c r="B1517">
        <v>18.436199999999999</v>
      </c>
    </row>
    <row r="1518" spans="1:2" x14ac:dyDescent="0.25">
      <c r="A1518" s="8">
        <v>43343</v>
      </c>
      <c r="B1518">
        <v>18.534300000000002</v>
      </c>
    </row>
    <row r="1519" spans="1:2" x14ac:dyDescent="0.25">
      <c r="A1519" s="8">
        <v>43371</v>
      </c>
      <c r="B1519">
        <v>18.6158</v>
      </c>
    </row>
    <row r="1520" spans="1:2" x14ac:dyDescent="0.25">
      <c r="A1520" s="8">
        <v>43404</v>
      </c>
      <c r="B1520">
        <v>19.193999999999999</v>
      </c>
    </row>
    <row r="1521" spans="1:2" x14ac:dyDescent="0.25">
      <c r="A1521" s="8">
        <v>43434</v>
      </c>
      <c r="B1521">
        <v>19.5367</v>
      </c>
    </row>
    <row r="1522" spans="1:2" x14ac:dyDescent="0.25">
      <c r="A1522" s="8">
        <v>43465</v>
      </c>
      <c r="B1522">
        <v>17.654599999999999</v>
      </c>
    </row>
    <row r="1523" spans="1:2" x14ac:dyDescent="0.25">
      <c r="A1523" s="8">
        <v>43496</v>
      </c>
      <c r="B1523">
        <v>18.383500000000002</v>
      </c>
    </row>
    <row r="1524" spans="1:2" x14ac:dyDescent="0.25">
      <c r="A1524" s="8">
        <v>43524</v>
      </c>
      <c r="B1524">
        <v>18.839700000000001</v>
      </c>
    </row>
    <row r="1525" spans="1:2" x14ac:dyDescent="0.25">
      <c r="A1525" s="8">
        <v>43553</v>
      </c>
      <c r="B1525">
        <v>19.105599999999999</v>
      </c>
    </row>
    <row r="1526" spans="1:2" x14ac:dyDescent="0.25">
      <c r="A1526" s="8">
        <v>43585</v>
      </c>
      <c r="B1526">
        <v>19.717700000000001</v>
      </c>
    </row>
    <row r="1527" spans="1:2" x14ac:dyDescent="0.25">
      <c r="A1527" s="8">
        <v>43616</v>
      </c>
      <c r="B1527">
        <v>18.8902</v>
      </c>
    </row>
    <row r="1528" spans="1:2" x14ac:dyDescent="0.25">
      <c r="A1528" s="8">
        <v>43644</v>
      </c>
      <c r="B1528">
        <v>19.835599999999999</v>
      </c>
    </row>
    <row r="1529" spans="1:2" x14ac:dyDescent="0.25">
      <c r="A1529" s="8">
        <v>43677</v>
      </c>
      <c r="B1529">
        <v>20.248799999999999</v>
      </c>
    </row>
    <row r="1530" spans="1:2" x14ac:dyDescent="0.25">
      <c r="A1530" s="8">
        <v>43707</v>
      </c>
      <c r="B1530">
        <v>20.632400000000001</v>
      </c>
    </row>
    <row r="1531" spans="1:2" x14ac:dyDescent="0.25">
      <c r="A1531" s="8">
        <v>43738</v>
      </c>
      <c r="B1531">
        <v>20.911999999999999</v>
      </c>
    </row>
    <row r="1532" spans="1:2" x14ac:dyDescent="0.25">
      <c r="A1532" s="8">
        <v>43769</v>
      </c>
      <c r="B1532">
        <v>20.811199999999999</v>
      </c>
    </row>
    <row r="1533" spans="1:2" x14ac:dyDescent="0.25">
      <c r="A1533" s="8">
        <v>43798</v>
      </c>
      <c r="B1533">
        <v>20.999400000000001</v>
      </c>
    </row>
    <row r="1534" spans="1:2" x14ac:dyDescent="0.25">
      <c r="A1534" s="8">
        <v>43830</v>
      </c>
      <c r="B1534">
        <v>21.381399999999999</v>
      </c>
    </row>
    <row r="1535" spans="1:2" x14ac:dyDescent="0.25">
      <c r="A1535" s="8">
        <v>43861</v>
      </c>
      <c r="B1535">
        <v>21.363800000000001</v>
      </c>
    </row>
    <row r="1536" spans="1:2" x14ac:dyDescent="0.25">
      <c r="A1536" s="8">
        <v>43889</v>
      </c>
      <c r="B1536">
        <v>19.519100000000002</v>
      </c>
    </row>
    <row r="1537" spans="1:2" x14ac:dyDescent="0.25">
      <c r="A1537" s="8">
        <v>43921</v>
      </c>
      <c r="B1537">
        <v>18.040400000000002</v>
      </c>
    </row>
    <row r="1538" spans="1:2" x14ac:dyDescent="0.25">
      <c r="A1538" s="8">
        <v>43951</v>
      </c>
      <c r="B1538">
        <v>20.002300000000002</v>
      </c>
    </row>
    <row r="1539" spans="1:2" x14ac:dyDescent="0.25">
      <c r="A1539" s="8">
        <v>43980</v>
      </c>
      <c r="B1539">
        <v>20.6191</v>
      </c>
    </row>
    <row r="1540" spans="1:2" x14ac:dyDescent="0.25">
      <c r="A1540" s="8">
        <v>44012</v>
      </c>
      <c r="B1540">
        <v>20.322600000000001</v>
      </c>
    </row>
    <row r="1541" spans="1:2" x14ac:dyDescent="0.25">
      <c r="A1541" s="8">
        <v>44043</v>
      </c>
      <c r="B1541">
        <v>21.589300000000001</v>
      </c>
    </row>
    <row r="1542" spans="1:2" x14ac:dyDescent="0.25">
      <c r="A1542" s="8">
        <v>44074</v>
      </c>
      <c r="B1542">
        <v>22.4712</v>
      </c>
    </row>
    <row r="1543" spans="1:2" x14ac:dyDescent="0.25">
      <c r="A1543" s="8">
        <v>44104</v>
      </c>
      <c r="B1543">
        <v>21.819299999999998</v>
      </c>
    </row>
    <row r="1544" spans="1:2" x14ac:dyDescent="0.25">
      <c r="A1544" s="8">
        <v>44134</v>
      </c>
      <c r="B1544">
        <v>20.7852</v>
      </c>
    </row>
    <row r="1545" spans="1:2" x14ac:dyDescent="0.25">
      <c r="A1545" s="8">
        <v>44165</v>
      </c>
      <c r="B1545">
        <v>22.069099999999999</v>
      </c>
    </row>
    <row r="1546" spans="1:2" x14ac:dyDescent="0.25">
      <c r="A1546" s="8">
        <v>44196</v>
      </c>
      <c r="B1546">
        <v>22.194800000000001</v>
      </c>
    </row>
    <row r="1547" spans="1:2" x14ac:dyDescent="0.25">
      <c r="A1547" s="8">
        <v>44225</v>
      </c>
      <c r="B1547">
        <v>20.6875</v>
      </c>
    </row>
    <row r="1548" spans="1:2" x14ac:dyDescent="0.25">
      <c r="A1548" s="8">
        <v>44253</v>
      </c>
      <c r="B1548">
        <v>20.192599999999999</v>
      </c>
    </row>
    <row r="1549" spans="1:2" x14ac:dyDescent="0.25">
      <c r="A1549" s="8">
        <v>44286</v>
      </c>
      <c r="B1549">
        <v>20.9251</v>
      </c>
    </row>
    <row r="1550" spans="1:2" x14ac:dyDescent="0.25">
      <c r="A1550" s="8">
        <v>44316</v>
      </c>
      <c r="B1550">
        <v>21.319299999999998</v>
      </c>
    </row>
    <row r="1551" spans="1:2" x14ac:dyDescent="0.25">
      <c r="A1551" s="8">
        <v>44347</v>
      </c>
      <c r="B1551">
        <v>21.436900000000001</v>
      </c>
    </row>
    <row r="1552" spans="1:2" x14ac:dyDescent="0.25">
      <c r="A1552" s="8">
        <v>44377</v>
      </c>
      <c r="B1552">
        <v>21.239799999999999</v>
      </c>
    </row>
    <row r="1553" spans="1:2" x14ac:dyDescent="0.25">
      <c r="A1553" s="8">
        <v>44407</v>
      </c>
      <c r="B1553">
        <v>21.585599999999999</v>
      </c>
    </row>
    <row r="1554" spans="1:2" x14ac:dyDescent="0.25">
      <c r="A1554" s="8">
        <v>44439</v>
      </c>
      <c r="B1554">
        <v>21.7317</v>
      </c>
    </row>
    <row r="1555" spans="1:2" x14ac:dyDescent="0.25">
      <c r="A1555" s="8">
        <v>44469</v>
      </c>
      <c r="B1555">
        <v>20.608699999999999</v>
      </c>
    </row>
    <row r="1556" spans="1:2" x14ac:dyDescent="0.25">
      <c r="A1556" s="8">
        <v>44498</v>
      </c>
      <c r="B1556">
        <v>21.359200000000001</v>
      </c>
    </row>
    <row r="1557" spans="1:2" x14ac:dyDescent="0.25">
      <c r="A1557" s="8">
        <v>44530</v>
      </c>
      <c r="B1557">
        <v>21.016500000000001</v>
      </c>
    </row>
    <row r="1558" spans="1:2" x14ac:dyDescent="0.25">
      <c r="A1558" s="8">
        <v>44561</v>
      </c>
      <c r="B1558">
        <v>22.965</v>
      </c>
    </row>
    <row r="1559" spans="1:2" x14ac:dyDescent="0.25">
      <c r="A1559" s="8">
        <v>44592</v>
      </c>
      <c r="B1559">
        <v>22.674800000000001</v>
      </c>
    </row>
    <row r="1560" spans="1:2" x14ac:dyDescent="0.25">
      <c r="A1560" s="8">
        <v>44620</v>
      </c>
      <c r="B1560">
        <v>21.977799999999998</v>
      </c>
    </row>
    <row r="1561" spans="1:2" x14ac:dyDescent="0.25">
      <c r="A1561" s="8">
        <v>44651</v>
      </c>
      <c r="B1561">
        <v>21.6464</v>
      </c>
    </row>
    <row r="1562" spans="1:2" x14ac:dyDescent="0.25">
      <c r="A1562" s="8">
        <v>44680</v>
      </c>
      <c r="B1562">
        <v>22.297499999999999</v>
      </c>
    </row>
    <row r="1563" spans="1:2" x14ac:dyDescent="0.25">
      <c r="A1563" s="8">
        <v>44712</v>
      </c>
      <c r="B1563">
        <v>21.373999999999999</v>
      </c>
    </row>
    <row r="1564" spans="1:2" x14ac:dyDescent="0.25">
      <c r="A1564" s="8">
        <v>44742</v>
      </c>
      <c r="B1564">
        <v>20.831299999999999</v>
      </c>
    </row>
    <row r="1565" spans="1:2" x14ac:dyDescent="0.25">
      <c r="A1565" s="8">
        <v>44771</v>
      </c>
      <c r="B1565">
        <v>21.7514</v>
      </c>
    </row>
    <row r="1566" spans="1:2" x14ac:dyDescent="0.25">
      <c r="A1566" s="8">
        <v>44804</v>
      </c>
      <c r="B1566">
        <v>21.434200000000001</v>
      </c>
    </row>
    <row r="1567" spans="1:2" x14ac:dyDescent="0.25">
      <c r="A1567" s="8">
        <v>44834</v>
      </c>
      <c r="B1567">
        <v>19.571000000000002</v>
      </c>
    </row>
    <row r="1568" spans="1:2" x14ac:dyDescent="0.25">
      <c r="A1568" s="8">
        <v>44865</v>
      </c>
      <c r="B1568">
        <v>21.235199999999999</v>
      </c>
    </row>
    <row r="1569" spans="1:2" x14ac:dyDescent="0.25">
      <c r="A1569" s="8">
        <v>44895</v>
      </c>
      <c r="B1569">
        <v>22.9315</v>
      </c>
    </row>
    <row r="1570" spans="1:2" x14ac:dyDescent="0.25">
      <c r="A1570" s="8">
        <v>44925</v>
      </c>
      <c r="B1570">
        <v>22.138100000000001</v>
      </c>
    </row>
    <row r="1571" spans="1:2" x14ac:dyDescent="0.25">
      <c r="A1571" s="8">
        <v>44957</v>
      </c>
      <c r="B1571">
        <v>21.880500000000001</v>
      </c>
    </row>
    <row r="1572" spans="1:2" x14ac:dyDescent="0.25">
      <c r="A1572" s="8">
        <v>44985</v>
      </c>
      <c r="B1572">
        <v>20.066299999999998</v>
      </c>
    </row>
    <row r="1573" spans="1:2" x14ac:dyDescent="0.25">
      <c r="A1573" s="8">
        <v>45016</v>
      </c>
      <c r="B1573">
        <v>20.5898</v>
      </c>
    </row>
    <row r="1574" spans="1:2" x14ac:dyDescent="0.25">
      <c r="A1574" s="8">
        <v>45044</v>
      </c>
      <c r="B1574">
        <v>21.221399999999999</v>
      </c>
    </row>
    <row r="1575" spans="1:2" x14ac:dyDescent="0.25">
      <c r="A1575" s="8">
        <v>45077</v>
      </c>
      <c r="B1575">
        <v>20.13</v>
      </c>
    </row>
    <row r="1576" spans="1:2" x14ac:dyDescent="0.25">
      <c r="A1576" s="8">
        <v>45107</v>
      </c>
      <c r="B1576">
        <v>20.890599999999999</v>
      </c>
    </row>
    <row r="1577" spans="1:2" x14ac:dyDescent="0.25">
      <c r="A1577" s="8">
        <v>45138</v>
      </c>
      <c r="B1577">
        <v>21.170400000000001</v>
      </c>
    </row>
    <row r="1578" spans="1:2" x14ac:dyDescent="0.25">
      <c r="A1578" s="8">
        <v>45169</v>
      </c>
      <c r="B1578">
        <v>20.508199999999999</v>
      </c>
    </row>
    <row r="1579" spans="1:2" x14ac:dyDescent="0.25">
      <c r="A1579" s="8">
        <v>45198</v>
      </c>
      <c r="B1579">
        <v>19.577500000000001</v>
      </c>
    </row>
    <row r="1580" spans="1:2" x14ac:dyDescent="0.25">
      <c r="A1580" s="8">
        <v>45230</v>
      </c>
      <c r="B1580">
        <v>19.314800000000002</v>
      </c>
    </row>
    <row r="1581" spans="1:2" x14ac:dyDescent="0.25">
      <c r="A1581" s="8">
        <v>45260</v>
      </c>
      <c r="B1581">
        <v>19.893699999999999</v>
      </c>
    </row>
    <row r="1582" spans="1:2" x14ac:dyDescent="0.25">
      <c r="A1582" s="8">
        <v>45289</v>
      </c>
      <c r="B1582">
        <v>20.332899999999999</v>
      </c>
    </row>
    <row r="1583" spans="1:2" x14ac:dyDescent="0.25">
      <c r="A1583" s="8">
        <v>45322</v>
      </c>
      <c r="B1583">
        <v>20.497800000000002</v>
      </c>
    </row>
    <row r="1584" spans="1:2" x14ac:dyDescent="0.25">
      <c r="A1584" s="8">
        <v>45351</v>
      </c>
      <c r="B1584">
        <v>21.016200000000001</v>
      </c>
    </row>
    <row r="1585" spans="1:2" x14ac:dyDescent="0.25">
      <c r="A1585" s="8">
        <v>45380</v>
      </c>
      <c r="B1585">
        <v>19.994</v>
      </c>
    </row>
    <row r="1586" spans="1:2" x14ac:dyDescent="0.25">
      <c r="A1586" s="8">
        <v>45412</v>
      </c>
      <c r="B1586">
        <v>19.614999999999998</v>
      </c>
    </row>
    <row r="1587" spans="1:2" x14ac:dyDescent="0.25">
      <c r="A1587" s="8">
        <v>45443</v>
      </c>
      <c r="B1587">
        <v>20.032399999999999</v>
      </c>
    </row>
    <row r="1588" spans="1:2" x14ac:dyDescent="0.25">
      <c r="A1588" s="8">
        <v>45471</v>
      </c>
      <c r="B1588">
        <v>19.885100000000001</v>
      </c>
    </row>
    <row r="1589" spans="1:2" x14ac:dyDescent="0.25">
      <c r="A1589" s="8">
        <v>45504</v>
      </c>
      <c r="B1589">
        <v>20.246500000000001</v>
      </c>
    </row>
    <row r="1590" spans="1:2" x14ac:dyDescent="0.25">
      <c r="A1590" s="8">
        <v>45534</v>
      </c>
      <c r="B1590">
        <v>21.4621</v>
      </c>
    </row>
    <row r="1591" spans="1:2" x14ac:dyDescent="0.25">
      <c r="A1591" s="8">
        <v>45565</v>
      </c>
      <c r="B1591">
        <v>21.575600000000001</v>
      </c>
    </row>
    <row r="1592" spans="1:2" x14ac:dyDescent="0.25">
      <c r="A1592" s="8">
        <v>45596</v>
      </c>
      <c r="B1592">
        <v>20.873000000000001</v>
      </c>
    </row>
    <row r="1593" spans="1:2" x14ac:dyDescent="0.25">
      <c r="A1593" s="8">
        <v>45625</v>
      </c>
      <c r="B1593">
        <v>21.895900000000001</v>
      </c>
    </row>
    <row r="1594" spans="1:2" x14ac:dyDescent="0.25">
      <c r="A1594" s="8">
        <v>45657</v>
      </c>
      <c r="B1594">
        <v>20.747299999999999</v>
      </c>
    </row>
    <row r="1595" spans="1:2" x14ac:dyDescent="0.25">
      <c r="A1595" s="8">
        <v>45688</v>
      </c>
      <c r="B1595">
        <v>21.599900000000002</v>
      </c>
    </row>
    <row r="1596" spans="1:2" x14ac:dyDescent="0.25">
      <c r="A1596" s="8">
        <v>45716</v>
      </c>
      <c r="B1596">
        <v>22.851800000000001</v>
      </c>
    </row>
    <row r="1597" spans="1:2" x14ac:dyDescent="0.25">
      <c r="A1597" s="8">
        <v>45747</v>
      </c>
      <c r="B1597">
        <v>22.303000000000001</v>
      </c>
    </row>
    <row r="1598" spans="1:2" x14ac:dyDescent="0.25">
      <c r="A1598" s="8">
        <v>45777</v>
      </c>
      <c r="B1598">
        <v>22.5487</v>
      </c>
    </row>
    <row r="1599" spans="1:2" x14ac:dyDescent="0.25">
      <c r="A1599" s="8">
        <v>45807</v>
      </c>
      <c r="B1599">
        <v>23.091699999999999</v>
      </c>
    </row>
    <row r="1600" spans="1:2" x14ac:dyDescent="0.25">
      <c r="A1600" s="8">
        <v>45838</v>
      </c>
      <c r="B1600">
        <v>22.5932</v>
      </c>
    </row>
    <row r="1601" spans="1:2" x14ac:dyDescent="0.25">
      <c r="A1601" s="8">
        <v>45869</v>
      </c>
      <c r="B1601">
        <v>22.002700000000001</v>
      </c>
    </row>
    <row r="1602" spans="1:2" x14ac:dyDescent="0.25">
      <c r="A1602" s="8">
        <v>45898</v>
      </c>
      <c r="B1602">
        <v>22.758900000000001</v>
      </c>
    </row>
    <row r="1603" spans="1:2" x14ac:dyDescent="0.25">
      <c r="A1603" s="8">
        <v>45930</v>
      </c>
      <c r="B1603">
        <v>22.397099999999998</v>
      </c>
    </row>
    <row r="1604" spans="1:2" x14ac:dyDescent="0.25">
      <c r="A1604" s="8">
        <v>45961</v>
      </c>
      <c r="B1604">
        <v>21.837399999999999</v>
      </c>
    </row>
    <row r="1605" spans="1:2" x14ac:dyDescent="0.25">
      <c r="A1605" s="8">
        <v>45989</v>
      </c>
      <c r="B1605">
        <v>22.7409</v>
      </c>
    </row>
    <row r="1606" spans="1:2" x14ac:dyDescent="0.25">
      <c r="A1606" s="8">
        <v>46022</v>
      </c>
      <c r="B1606">
        <v>22.218499999999999</v>
      </c>
    </row>
    <row r="1607" spans="1:2" x14ac:dyDescent="0.25">
      <c r="A1607" s="8">
        <v>46052</v>
      </c>
      <c r="B1607">
        <v>23.786899999999999</v>
      </c>
    </row>
    <row r="1621" spans="1:4" x14ac:dyDescent="0.25">
      <c r="A1621" s="6" t="s">
        <v>341</v>
      </c>
      <c r="B1621" s="6" t="s">
        <v>342</v>
      </c>
      <c r="C1621" s="6" t="s">
        <v>343</v>
      </c>
      <c r="D1621" s="6" t="s">
        <v>307</v>
      </c>
    </row>
    <row r="1622" spans="1:4" x14ac:dyDescent="0.25">
      <c r="A1622" s="8">
        <f ca="1">_xll.BDH("S5TELS Index","BEST_PE_RATIO","02/01/2016",TODAY(),"Per=M","cols=2;rows=121")</f>
        <v>42398</v>
      </c>
      <c r="B1622">
        <v>12.9247</v>
      </c>
    </row>
    <row r="1623" spans="1:4" x14ac:dyDescent="0.25">
      <c r="A1623" s="8">
        <v>42429</v>
      </c>
      <c r="B1623">
        <v>13.274800000000001</v>
      </c>
    </row>
    <row r="1624" spans="1:4" x14ac:dyDescent="0.25">
      <c r="A1624" s="8">
        <v>42460</v>
      </c>
      <c r="B1624">
        <v>14.0663</v>
      </c>
    </row>
    <row r="1625" spans="1:4" x14ac:dyDescent="0.25">
      <c r="A1625" s="8">
        <v>42489</v>
      </c>
      <c r="B1625">
        <v>13.608599999999999</v>
      </c>
    </row>
    <row r="1626" spans="1:4" x14ac:dyDescent="0.25">
      <c r="A1626" s="8">
        <v>42521</v>
      </c>
      <c r="B1626">
        <v>13.6112</v>
      </c>
    </row>
    <row r="1627" spans="1:4" x14ac:dyDescent="0.25">
      <c r="A1627" s="8">
        <v>42551</v>
      </c>
      <c r="B1627">
        <v>14.967700000000001</v>
      </c>
    </row>
    <row r="1628" spans="1:4" x14ac:dyDescent="0.25">
      <c r="A1628" s="8">
        <v>42580</v>
      </c>
      <c r="B1628">
        <v>15.296900000000001</v>
      </c>
    </row>
    <row r="1629" spans="1:4" x14ac:dyDescent="0.25">
      <c r="A1629" s="8">
        <v>42613</v>
      </c>
      <c r="B1629">
        <v>14.3249</v>
      </c>
    </row>
    <row r="1630" spans="1:4" x14ac:dyDescent="0.25">
      <c r="A1630" s="8">
        <v>42643</v>
      </c>
      <c r="B1630">
        <v>14.0055</v>
      </c>
    </row>
    <row r="1631" spans="1:4" x14ac:dyDescent="0.25">
      <c r="A1631" s="8">
        <v>42674</v>
      </c>
      <c r="B1631">
        <v>12.9932</v>
      </c>
    </row>
    <row r="1632" spans="1:4" x14ac:dyDescent="0.25">
      <c r="A1632" s="8">
        <v>42704</v>
      </c>
      <c r="B1632">
        <v>13.5572</v>
      </c>
    </row>
    <row r="1633" spans="1:2" x14ac:dyDescent="0.25">
      <c r="A1633" s="8">
        <v>42734</v>
      </c>
      <c r="B1633">
        <v>14.6784</v>
      </c>
    </row>
    <row r="1634" spans="1:2" x14ac:dyDescent="0.25">
      <c r="A1634" s="8">
        <v>42766</v>
      </c>
      <c r="B1634">
        <v>13.8773</v>
      </c>
    </row>
    <row r="1635" spans="1:2" x14ac:dyDescent="0.25">
      <c r="A1635" s="8">
        <v>42794</v>
      </c>
      <c r="B1635">
        <v>13.907500000000001</v>
      </c>
    </row>
    <row r="1636" spans="1:2" x14ac:dyDescent="0.25">
      <c r="A1636" s="8">
        <v>42825</v>
      </c>
      <c r="B1636">
        <v>13.705299999999999</v>
      </c>
    </row>
    <row r="1637" spans="1:2" x14ac:dyDescent="0.25">
      <c r="A1637" s="8">
        <v>42853</v>
      </c>
      <c r="B1637">
        <v>13.238200000000001</v>
      </c>
    </row>
    <row r="1638" spans="1:2" x14ac:dyDescent="0.25">
      <c r="A1638" s="8">
        <v>42886</v>
      </c>
      <c r="B1638">
        <v>13.133100000000001</v>
      </c>
    </row>
    <row r="1639" spans="1:2" x14ac:dyDescent="0.25">
      <c r="A1639" s="8">
        <v>42916</v>
      </c>
      <c r="B1639">
        <v>12.73</v>
      </c>
    </row>
    <row r="1640" spans="1:2" x14ac:dyDescent="0.25">
      <c r="A1640" s="8">
        <v>42947</v>
      </c>
      <c r="B1640">
        <v>13.2089</v>
      </c>
    </row>
    <row r="1641" spans="1:2" x14ac:dyDescent="0.25">
      <c r="A1641" s="8">
        <v>42978</v>
      </c>
      <c r="B1641">
        <v>12.822100000000001</v>
      </c>
    </row>
    <row r="1642" spans="1:2" x14ac:dyDescent="0.25">
      <c r="A1642" s="8">
        <v>43007</v>
      </c>
      <c r="B1642">
        <v>13.3101</v>
      </c>
    </row>
    <row r="1643" spans="1:2" x14ac:dyDescent="0.25">
      <c r="A1643" s="8">
        <v>43039</v>
      </c>
      <c r="B1643">
        <v>12.004200000000001</v>
      </c>
    </row>
    <row r="1644" spans="1:2" x14ac:dyDescent="0.25">
      <c r="A1644" s="8">
        <v>43069</v>
      </c>
      <c r="B1644">
        <v>12.8261</v>
      </c>
    </row>
    <row r="1645" spans="1:2" x14ac:dyDescent="0.25">
      <c r="A1645" s="8">
        <v>43098</v>
      </c>
      <c r="B1645">
        <v>13.9025</v>
      </c>
    </row>
    <row r="1646" spans="1:2" x14ac:dyDescent="0.25">
      <c r="A1646" s="8">
        <v>43131</v>
      </c>
      <c r="B1646">
        <v>15.337300000000001</v>
      </c>
    </row>
    <row r="1647" spans="1:2" x14ac:dyDescent="0.25">
      <c r="A1647" s="8">
        <v>43159</v>
      </c>
      <c r="B1647">
        <v>14.2555</v>
      </c>
    </row>
    <row r="1648" spans="1:2" x14ac:dyDescent="0.25">
      <c r="A1648" s="8">
        <v>43189</v>
      </c>
      <c r="B1648">
        <v>14.0966</v>
      </c>
    </row>
    <row r="1649" spans="1:2" x14ac:dyDescent="0.25">
      <c r="A1649" s="8">
        <v>43220</v>
      </c>
      <c r="B1649">
        <v>13.7796</v>
      </c>
    </row>
    <row r="1650" spans="1:2" x14ac:dyDescent="0.25">
      <c r="A1650" s="8">
        <v>43251</v>
      </c>
      <c r="B1650">
        <v>13.4663</v>
      </c>
    </row>
    <row r="1651" spans="1:2" x14ac:dyDescent="0.25">
      <c r="A1651" s="8">
        <v>43280</v>
      </c>
      <c r="B1651">
        <v>13.7684</v>
      </c>
    </row>
    <row r="1652" spans="1:2" x14ac:dyDescent="0.25">
      <c r="A1652" s="8">
        <v>43312</v>
      </c>
      <c r="B1652">
        <v>13.906000000000001</v>
      </c>
    </row>
    <row r="1653" spans="1:2" x14ac:dyDescent="0.25">
      <c r="A1653" s="8">
        <v>43343</v>
      </c>
      <c r="B1653">
        <v>14.3141</v>
      </c>
    </row>
    <row r="1654" spans="1:2" x14ac:dyDescent="0.25">
      <c r="A1654" s="8">
        <v>43371</v>
      </c>
      <c r="B1654">
        <v>14.9239</v>
      </c>
    </row>
    <row r="1655" spans="1:2" x14ac:dyDescent="0.25">
      <c r="A1655" s="8">
        <v>43404</v>
      </c>
      <c r="B1655">
        <v>14.025</v>
      </c>
    </row>
    <row r="1656" spans="1:2" x14ac:dyDescent="0.25">
      <c r="A1656" s="8">
        <v>43434</v>
      </c>
      <c r="B1656">
        <v>13.930199999999999</v>
      </c>
    </row>
    <row r="1657" spans="1:2" x14ac:dyDescent="0.25">
      <c r="A1657" s="8">
        <v>43465</v>
      </c>
      <c r="B1657">
        <v>12.9002</v>
      </c>
    </row>
    <row r="1658" spans="1:2" x14ac:dyDescent="0.25">
      <c r="A1658" s="8">
        <v>43496</v>
      </c>
      <c r="B1658">
        <v>17.611899999999999</v>
      </c>
    </row>
    <row r="1659" spans="1:2" x14ac:dyDescent="0.25">
      <c r="A1659" s="8">
        <v>43524</v>
      </c>
      <c r="B1659">
        <v>16.292300000000001</v>
      </c>
    </row>
    <row r="1660" spans="1:2" x14ac:dyDescent="0.25">
      <c r="A1660" s="8">
        <v>43553</v>
      </c>
      <c r="B1660">
        <v>16.473400000000002</v>
      </c>
    </row>
    <row r="1661" spans="1:2" x14ac:dyDescent="0.25">
      <c r="A1661" s="8">
        <v>43585</v>
      </c>
      <c r="B1661">
        <v>17.311399999999999</v>
      </c>
    </row>
    <row r="1662" spans="1:2" x14ac:dyDescent="0.25">
      <c r="A1662" s="8">
        <v>43616</v>
      </c>
      <c r="B1662">
        <v>16.487100000000002</v>
      </c>
    </row>
    <row r="1663" spans="1:2" x14ac:dyDescent="0.25">
      <c r="A1663" s="8">
        <v>43644</v>
      </c>
      <c r="B1663">
        <v>17.428100000000001</v>
      </c>
    </row>
    <row r="1664" spans="1:2" x14ac:dyDescent="0.25">
      <c r="A1664" s="8">
        <v>43677</v>
      </c>
      <c r="B1664">
        <v>17.592700000000001</v>
      </c>
    </row>
    <row r="1665" spans="1:2" x14ac:dyDescent="0.25">
      <c r="A1665" s="8">
        <v>43707</v>
      </c>
      <c r="B1665">
        <v>17.481000000000002</v>
      </c>
    </row>
    <row r="1666" spans="1:2" x14ac:dyDescent="0.25">
      <c r="A1666" s="8">
        <v>43738</v>
      </c>
      <c r="B1666">
        <v>17.5517</v>
      </c>
    </row>
    <row r="1667" spans="1:2" x14ac:dyDescent="0.25">
      <c r="A1667" s="8">
        <v>43769</v>
      </c>
      <c r="B1667">
        <v>18.072700000000001</v>
      </c>
    </row>
    <row r="1668" spans="1:2" x14ac:dyDescent="0.25">
      <c r="A1668" s="8">
        <v>43798</v>
      </c>
      <c r="B1668">
        <v>18.9954</v>
      </c>
    </row>
    <row r="1669" spans="1:2" x14ac:dyDescent="0.25">
      <c r="A1669" s="8">
        <v>43830</v>
      </c>
      <c r="B1669">
        <v>19.419799999999999</v>
      </c>
    </row>
    <row r="1670" spans="1:2" x14ac:dyDescent="0.25">
      <c r="A1670" s="8">
        <v>43861</v>
      </c>
      <c r="B1670">
        <v>21.120799999999999</v>
      </c>
    </row>
    <row r="1671" spans="1:2" x14ac:dyDescent="0.25">
      <c r="A1671" s="8">
        <v>43889</v>
      </c>
      <c r="B1671">
        <v>16.799499999999998</v>
      </c>
    </row>
    <row r="1672" spans="1:2" x14ac:dyDescent="0.25">
      <c r="A1672" s="8">
        <v>43921</v>
      </c>
      <c r="B1672">
        <v>16.3171</v>
      </c>
    </row>
    <row r="1673" spans="1:2" x14ac:dyDescent="0.25">
      <c r="A1673" s="8">
        <v>43951</v>
      </c>
      <c r="B1673">
        <v>20.959599999999998</v>
      </c>
    </row>
    <row r="1674" spans="1:2" x14ac:dyDescent="0.25">
      <c r="A1674" s="8">
        <v>43980</v>
      </c>
      <c r="B1674">
        <v>22.510400000000001</v>
      </c>
    </row>
    <row r="1675" spans="1:2" x14ac:dyDescent="0.25">
      <c r="A1675" s="8">
        <v>44012</v>
      </c>
      <c r="B1675">
        <v>22.391100000000002</v>
      </c>
    </row>
    <row r="1676" spans="1:2" x14ac:dyDescent="0.25">
      <c r="A1676" s="8">
        <v>44043</v>
      </c>
      <c r="B1676">
        <v>23.594000000000001</v>
      </c>
    </row>
    <row r="1677" spans="1:2" x14ac:dyDescent="0.25">
      <c r="A1677" s="8">
        <v>44074</v>
      </c>
      <c r="B1677">
        <v>26.127400000000002</v>
      </c>
    </row>
    <row r="1678" spans="1:2" x14ac:dyDescent="0.25">
      <c r="A1678" s="8">
        <v>44104</v>
      </c>
      <c r="B1678">
        <v>24.244900000000001</v>
      </c>
    </row>
    <row r="1679" spans="1:2" x14ac:dyDescent="0.25">
      <c r="A1679" s="8">
        <v>44134</v>
      </c>
      <c r="B1679">
        <v>23.9468</v>
      </c>
    </row>
    <row r="1680" spans="1:2" x14ac:dyDescent="0.25">
      <c r="A1680" s="8">
        <v>44165</v>
      </c>
      <c r="B1680">
        <v>25.9466</v>
      </c>
    </row>
    <row r="1681" spans="1:2" x14ac:dyDescent="0.25">
      <c r="A1681" s="8">
        <v>44196</v>
      </c>
      <c r="B1681">
        <v>26.518699999999999</v>
      </c>
    </row>
    <row r="1682" spans="1:2" x14ac:dyDescent="0.25">
      <c r="A1682" s="8">
        <v>44225</v>
      </c>
      <c r="B1682">
        <v>27.6374</v>
      </c>
    </row>
    <row r="1683" spans="1:2" x14ac:dyDescent="0.25">
      <c r="A1683" s="8">
        <v>44253</v>
      </c>
      <c r="B1683">
        <v>22.136500000000002</v>
      </c>
    </row>
    <row r="1684" spans="1:2" x14ac:dyDescent="0.25">
      <c r="A1684" s="8">
        <v>44286</v>
      </c>
      <c r="B1684">
        <v>22.494599999999998</v>
      </c>
    </row>
    <row r="1685" spans="1:2" x14ac:dyDescent="0.25">
      <c r="A1685" s="8">
        <v>44316</v>
      </c>
      <c r="B1685">
        <v>22.096900000000002</v>
      </c>
    </row>
    <row r="1686" spans="1:2" x14ac:dyDescent="0.25">
      <c r="A1686" s="8">
        <v>44347</v>
      </c>
      <c r="B1686">
        <v>21.903300000000002</v>
      </c>
    </row>
    <row r="1687" spans="1:2" x14ac:dyDescent="0.25">
      <c r="A1687" s="8">
        <v>44377</v>
      </c>
      <c r="B1687">
        <v>22.236999999999998</v>
      </c>
    </row>
    <row r="1688" spans="1:2" x14ac:dyDescent="0.25">
      <c r="A1688" s="8">
        <v>44407</v>
      </c>
      <c r="B1688">
        <v>21.441600000000001</v>
      </c>
    </row>
    <row r="1689" spans="1:2" x14ac:dyDescent="0.25">
      <c r="A1689" s="8">
        <v>44439</v>
      </c>
      <c r="B1689">
        <v>22.060600000000001</v>
      </c>
    </row>
    <row r="1690" spans="1:2" x14ac:dyDescent="0.25">
      <c r="A1690" s="8">
        <v>44469</v>
      </c>
      <c r="B1690">
        <v>20.775200000000002</v>
      </c>
    </row>
    <row r="1691" spans="1:2" x14ac:dyDescent="0.25">
      <c r="A1691" s="8">
        <v>44498</v>
      </c>
      <c r="B1691">
        <v>21.637899999999998</v>
      </c>
    </row>
    <row r="1692" spans="1:2" x14ac:dyDescent="0.25">
      <c r="A1692" s="8">
        <v>44530</v>
      </c>
      <c r="B1692">
        <v>20.822399999999998</v>
      </c>
    </row>
    <row r="1693" spans="1:2" x14ac:dyDescent="0.25">
      <c r="A1693" s="8">
        <v>44561</v>
      </c>
      <c r="B1693">
        <v>21.270800000000001</v>
      </c>
    </row>
    <row r="1694" spans="1:2" x14ac:dyDescent="0.25">
      <c r="A1694" s="8">
        <v>44592</v>
      </c>
      <c r="B1694">
        <v>19.872199999999999</v>
      </c>
    </row>
    <row r="1695" spans="1:2" x14ac:dyDescent="0.25">
      <c r="A1695" s="8">
        <v>44620</v>
      </c>
      <c r="B1695">
        <v>18.053699999999999</v>
      </c>
    </row>
    <row r="1696" spans="1:2" x14ac:dyDescent="0.25">
      <c r="A1696" s="8">
        <v>44651</v>
      </c>
      <c r="B1696">
        <v>18.0883</v>
      </c>
    </row>
    <row r="1697" spans="1:2" x14ac:dyDescent="0.25">
      <c r="A1697" s="8">
        <v>44680</v>
      </c>
      <c r="B1697">
        <v>15.7736</v>
      </c>
    </row>
    <row r="1698" spans="1:2" x14ac:dyDescent="0.25">
      <c r="A1698" s="8">
        <v>44712</v>
      </c>
      <c r="B1698">
        <v>16.182300000000001</v>
      </c>
    </row>
    <row r="1699" spans="1:2" x14ac:dyDescent="0.25">
      <c r="A1699" s="8">
        <v>44742</v>
      </c>
      <c r="B1699">
        <v>14.9094</v>
      </c>
    </row>
    <row r="1700" spans="1:2" x14ac:dyDescent="0.25">
      <c r="A1700" s="8">
        <v>44771</v>
      </c>
      <c r="B1700">
        <v>16.255800000000001</v>
      </c>
    </row>
    <row r="1701" spans="1:2" x14ac:dyDescent="0.25">
      <c r="A1701" s="8">
        <v>44804</v>
      </c>
      <c r="B1701">
        <v>15.9786</v>
      </c>
    </row>
    <row r="1702" spans="1:2" x14ac:dyDescent="0.25">
      <c r="A1702" s="8">
        <v>44834</v>
      </c>
      <c r="B1702">
        <v>14.0634</v>
      </c>
    </row>
    <row r="1703" spans="1:2" x14ac:dyDescent="0.25">
      <c r="A1703" s="8">
        <v>44865</v>
      </c>
      <c r="B1703">
        <v>14.471299999999999</v>
      </c>
    </row>
    <row r="1704" spans="1:2" x14ac:dyDescent="0.25">
      <c r="A1704" s="8">
        <v>44895</v>
      </c>
      <c r="B1704">
        <v>15.8439</v>
      </c>
    </row>
    <row r="1705" spans="1:2" x14ac:dyDescent="0.25">
      <c r="A1705" s="8">
        <v>44925</v>
      </c>
      <c r="B1705">
        <v>14.477600000000001</v>
      </c>
    </row>
    <row r="1706" spans="1:2" x14ac:dyDescent="0.25">
      <c r="A1706" s="8">
        <v>44957</v>
      </c>
      <c r="B1706">
        <v>16.930599999999998</v>
      </c>
    </row>
    <row r="1707" spans="1:2" x14ac:dyDescent="0.25">
      <c r="A1707" s="8">
        <v>44985</v>
      </c>
      <c r="B1707">
        <v>14.827999999999999</v>
      </c>
    </row>
    <row r="1708" spans="1:2" x14ac:dyDescent="0.25">
      <c r="A1708" s="8">
        <v>45016</v>
      </c>
      <c r="B1708">
        <v>16.196300000000001</v>
      </c>
    </row>
    <row r="1709" spans="1:2" x14ac:dyDescent="0.25">
      <c r="A1709" s="8">
        <v>45044</v>
      </c>
      <c r="B1709">
        <v>16.657800000000002</v>
      </c>
    </row>
    <row r="1710" spans="1:2" x14ac:dyDescent="0.25">
      <c r="A1710" s="8">
        <v>45077</v>
      </c>
      <c r="B1710">
        <v>17.732900000000001</v>
      </c>
    </row>
    <row r="1711" spans="1:2" x14ac:dyDescent="0.25">
      <c r="A1711" s="8">
        <v>45107</v>
      </c>
      <c r="B1711">
        <v>18.011800000000001</v>
      </c>
    </row>
    <row r="1712" spans="1:2" x14ac:dyDescent="0.25">
      <c r="A1712" s="8">
        <v>45138</v>
      </c>
      <c r="B1712">
        <v>18.942399999999999</v>
      </c>
    </row>
    <row r="1713" spans="1:2" x14ac:dyDescent="0.25">
      <c r="A1713" s="8">
        <v>45169</v>
      </c>
      <c r="B1713">
        <v>18.651</v>
      </c>
    </row>
    <row r="1714" spans="1:2" x14ac:dyDescent="0.25">
      <c r="A1714" s="8">
        <v>45198</v>
      </c>
      <c r="B1714">
        <v>18.1084</v>
      </c>
    </row>
    <row r="1715" spans="1:2" x14ac:dyDescent="0.25">
      <c r="A1715" s="8">
        <v>45230</v>
      </c>
      <c r="B1715">
        <v>17.614799999999999</v>
      </c>
    </row>
    <row r="1716" spans="1:2" x14ac:dyDescent="0.25">
      <c r="A1716" s="8">
        <v>45260</v>
      </c>
      <c r="B1716">
        <v>18.849299999999999</v>
      </c>
    </row>
    <row r="1717" spans="1:2" x14ac:dyDescent="0.25">
      <c r="A1717" s="8">
        <v>45289</v>
      </c>
      <c r="B1717">
        <v>19.723299999999998</v>
      </c>
    </row>
    <row r="1718" spans="1:2" x14ac:dyDescent="0.25">
      <c r="A1718" s="8">
        <v>45322</v>
      </c>
      <c r="B1718">
        <v>20.789200000000001</v>
      </c>
    </row>
    <row r="1719" spans="1:2" x14ac:dyDescent="0.25">
      <c r="A1719" s="8">
        <v>45351</v>
      </c>
      <c r="B1719">
        <v>18.479600000000001</v>
      </c>
    </row>
    <row r="1720" spans="1:2" x14ac:dyDescent="0.25">
      <c r="A1720" s="8">
        <v>45380</v>
      </c>
      <c r="B1720">
        <v>19.144500000000001</v>
      </c>
    </row>
    <row r="1721" spans="1:2" x14ac:dyDescent="0.25">
      <c r="A1721" s="8">
        <v>45412</v>
      </c>
      <c r="B1721">
        <v>18.563400000000001</v>
      </c>
    </row>
    <row r="1722" spans="1:2" x14ac:dyDescent="0.25">
      <c r="A1722" s="8">
        <v>45443</v>
      </c>
      <c r="B1722">
        <v>19.318200000000001</v>
      </c>
    </row>
    <row r="1723" spans="1:2" x14ac:dyDescent="0.25">
      <c r="A1723" s="8">
        <v>45471</v>
      </c>
      <c r="B1723">
        <v>20.209599999999998</v>
      </c>
    </row>
    <row r="1724" spans="1:2" x14ac:dyDescent="0.25">
      <c r="A1724" s="8">
        <v>45504</v>
      </c>
      <c r="B1724">
        <v>19.034199999999998</v>
      </c>
    </row>
    <row r="1725" spans="1:2" x14ac:dyDescent="0.25">
      <c r="A1725" s="8">
        <v>45534</v>
      </c>
      <c r="B1725">
        <v>19.9815</v>
      </c>
    </row>
    <row r="1726" spans="1:2" x14ac:dyDescent="0.25">
      <c r="A1726" s="8">
        <v>45565</v>
      </c>
      <c r="B1726">
        <v>20.733000000000001</v>
      </c>
    </row>
    <row r="1727" spans="1:2" x14ac:dyDescent="0.25">
      <c r="A1727" s="8">
        <v>45596</v>
      </c>
      <c r="B1727">
        <v>20.732099999999999</v>
      </c>
    </row>
    <row r="1728" spans="1:2" x14ac:dyDescent="0.25">
      <c r="A1728" s="8">
        <v>45625</v>
      </c>
      <c r="B1728">
        <v>21.096800000000002</v>
      </c>
    </row>
    <row r="1729" spans="1:2" x14ac:dyDescent="0.25">
      <c r="A1729" s="8">
        <v>45657</v>
      </c>
      <c r="B1729">
        <v>21.6677</v>
      </c>
    </row>
    <row r="1730" spans="1:2" x14ac:dyDescent="0.25">
      <c r="A1730" s="8">
        <v>45688</v>
      </c>
      <c r="B1730">
        <v>23.471499999999999</v>
      </c>
    </row>
    <row r="1731" spans="1:2" x14ac:dyDescent="0.25">
      <c r="A1731" s="8">
        <v>45716</v>
      </c>
      <c r="B1731">
        <v>19.511399999999998</v>
      </c>
    </row>
    <row r="1732" spans="1:2" x14ac:dyDescent="0.25">
      <c r="A1732" s="8">
        <v>45747</v>
      </c>
      <c r="B1732">
        <v>17.957599999999999</v>
      </c>
    </row>
    <row r="1733" spans="1:2" x14ac:dyDescent="0.25">
      <c r="A1733" s="8">
        <v>45777</v>
      </c>
      <c r="B1733">
        <v>17.838000000000001</v>
      </c>
    </row>
    <row r="1734" spans="1:2" x14ac:dyDescent="0.25">
      <c r="A1734" s="8">
        <v>45807</v>
      </c>
      <c r="B1734">
        <v>18.246700000000001</v>
      </c>
    </row>
    <row r="1735" spans="1:2" x14ac:dyDescent="0.25">
      <c r="A1735" s="8">
        <v>45838</v>
      </c>
      <c r="B1735">
        <v>19.000299999999999</v>
      </c>
    </row>
    <row r="1736" spans="1:2" x14ac:dyDescent="0.25">
      <c r="A1736" s="8">
        <v>45869</v>
      </c>
      <c r="B1736">
        <v>19.1692</v>
      </c>
    </row>
    <row r="1737" spans="1:2" x14ac:dyDescent="0.25">
      <c r="A1737" s="8">
        <v>45898</v>
      </c>
      <c r="B1737">
        <v>19.5319</v>
      </c>
    </row>
    <row r="1738" spans="1:2" x14ac:dyDescent="0.25">
      <c r="A1738" s="8">
        <v>45930</v>
      </c>
      <c r="B1738">
        <v>20.363900000000001</v>
      </c>
    </row>
    <row r="1739" spans="1:2" x14ac:dyDescent="0.25">
      <c r="A1739" s="8">
        <v>45961</v>
      </c>
      <c r="B1739">
        <v>21.6921</v>
      </c>
    </row>
    <row r="1740" spans="1:2" x14ac:dyDescent="0.25">
      <c r="A1740" s="8">
        <v>45989</v>
      </c>
      <c r="B1740">
        <v>23.250499999999999</v>
      </c>
    </row>
    <row r="1741" spans="1:2" x14ac:dyDescent="0.25">
      <c r="A1741" s="8">
        <v>46022</v>
      </c>
      <c r="B1741">
        <v>23.146899999999999</v>
      </c>
    </row>
    <row r="1742" spans="1:2" x14ac:dyDescent="0.25">
      <c r="A1742" s="8">
        <v>46052</v>
      </c>
      <c r="B1742">
        <v>25.180700000000002</v>
      </c>
    </row>
    <row r="1756" spans="1:4" x14ac:dyDescent="0.25">
      <c r="A1756" s="6" t="s">
        <v>344</v>
      </c>
      <c r="B1756" s="6" t="s">
        <v>345</v>
      </c>
      <c r="C1756" s="6" t="s">
        <v>346</v>
      </c>
      <c r="D1756" s="6" t="s">
        <v>307</v>
      </c>
    </row>
    <row r="1757" spans="1:4" x14ac:dyDescent="0.25">
      <c r="A1757" s="8">
        <f ca="1">_xll.BDH("S5MATR Index","BEST_PE_RATIO","02/01/2016",TODAY(),"Per=M","cols=2;rows=121")</f>
        <v>42398</v>
      </c>
      <c r="B1757">
        <v>15.4701</v>
      </c>
    </row>
    <row r="1758" spans="1:4" x14ac:dyDescent="0.25">
      <c r="A1758" s="8">
        <v>42429</v>
      </c>
      <c r="B1758">
        <v>16.5397</v>
      </c>
    </row>
    <row r="1759" spans="1:4" x14ac:dyDescent="0.25">
      <c r="A1759" s="8">
        <v>42460</v>
      </c>
      <c r="B1759">
        <v>17.8902</v>
      </c>
    </row>
    <row r="1760" spans="1:4" x14ac:dyDescent="0.25">
      <c r="A1760" s="8">
        <v>42489</v>
      </c>
      <c r="B1760">
        <v>18.046600000000002</v>
      </c>
    </row>
    <row r="1761" spans="1:2" x14ac:dyDescent="0.25">
      <c r="A1761" s="8">
        <v>42521</v>
      </c>
      <c r="B1761">
        <v>17.719200000000001</v>
      </c>
    </row>
    <row r="1762" spans="1:2" x14ac:dyDescent="0.25">
      <c r="A1762" s="8">
        <v>42551</v>
      </c>
      <c r="B1762">
        <v>17.700399999999998</v>
      </c>
    </row>
    <row r="1763" spans="1:2" x14ac:dyDescent="0.25">
      <c r="A1763" s="8">
        <v>42580</v>
      </c>
      <c r="B1763">
        <v>18.503299999999999</v>
      </c>
    </row>
    <row r="1764" spans="1:2" x14ac:dyDescent="0.25">
      <c r="A1764" s="8">
        <v>42613</v>
      </c>
      <c r="B1764">
        <v>18.6159</v>
      </c>
    </row>
    <row r="1765" spans="1:2" x14ac:dyDescent="0.25">
      <c r="A1765" s="8">
        <v>42643</v>
      </c>
      <c r="B1765">
        <v>18.2822</v>
      </c>
    </row>
    <row r="1766" spans="1:2" x14ac:dyDescent="0.25">
      <c r="A1766" s="8">
        <v>42674</v>
      </c>
      <c r="B1766">
        <v>18.1951</v>
      </c>
    </row>
    <row r="1767" spans="1:2" x14ac:dyDescent="0.25">
      <c r="A1767" s="8">
        <v>42704</v>
      </c>
      <c r="B1767">
        <v>19.279199999999999</v>
      </c>
    </row>
    <row r="1768" spans="1:2" x14ac:dyDescent="0.25">
      <c r="A1768" s="8">
        <v>42734</v>
      </c>
      <c r="B1768">
        <v>19.3996</v>
      </c>
    </row>
    <row r="1769" spans="1:2" x14ac:dyDescent="0.25">
      <c r="A1769" s="8">
        <v>42766</v>
      </c>
      <c r="B1769">
        <v>18.852699999999999</v>
      </c>
    </row>
    <row r="1770" spans="1:2" x14ac:dyDescent="0.25">
      <c r="A1770" s="8">
        <v>42794</v>
      </c>
      <c r="B1770">
        <v>18.569700000000001</v>
      </c>
    </row>
    <row r="1771" spans="1:2" x14ac:dyDescent="0.25">
      <c r="A1771" s="8">
        <v>42825</v>
      </c>
      <c r="B1771">
        <v>18.321200000000001</v>
      </c>
    </row>
    <row r="1772" spans="1:2" x14ac:dyDescent="0.25">
      <c r="A1772" s="8">
        <v>42853</v>
      </c>
      <c r="B1772">
        <v>17.9544</v>
      </c>
    </row>
    <row r="1773" spans="1:2" x14ac:dyDescent="0.25">
      <c r="A1773" s="8">
        <v>42886</v>
      </c>
      <c r="B1773">
        <v>18.205100000000002</v>
      </c>
    </row>
    <row r="1774" spans="1:2" x14ac:dyDescent="0.25">
      <c r="A1774" s="8">
        <v>42916</v>
      </c>
      <c r="B1774">
        <v>19.078800000000001</v>
      </c>
    </row>
    <row r="1775" spans="1:2" x14ac:dyDescent="0.25">
      <c r="A1775" s="8">
        <v>42947</v>
      </c>
      <c r="B1775">
        <v>19.319800000000001</v>
      </c>
    </row>
    <row r="1776" spans="1:2" x14ac:dyDescent="0.25">
      <c r="A1776" s="8">
        <v>42978</v>
      </c>
      <c r="B1776">
        <v>19.579899999999999</v>
      </c>
    </row>
    <row r="1777" spans="1:2" x14ac:dyDescent="0.25">
      <c r="A1777" s="8">
        <v>43007</v>
      </c>
      <c r="B1777">
        <v>21.143999999999998</v>
      </c>
    </row>
    <row r="1778" spans="1:2" x14ac:dyDescent="0.25">
      <c r="A1778" s="8">
        <v>43039</v>
      </c>
      <c r="B1778">
        <v>21.0017</v>
      </c>
    </row>
    <row r="1779" spans="1:2" x14ac:dyDescent="0.25">
      <c r="A1779" s="8">
        <v>43069</v>
      </c>
      <c r="B1779">
        <v>21.0747</v>
      </c>
    </row>
    <row r="1780" spans="1:2" x14ac:dyDescent="0.25">
      <c r="A1780" s="8">
        <v>43098</v>
      </c>
      <c r="B1780">
        <v>21.5379</v>
      </c>
    </row>
    <row r="1781" spans="1:2" x14ac:dyDescent="0.25">
      <c r="A1781" s="8">
        <v>43131</v>
      </c>
      <c r="B1781">
        <v>22.2727</v>
      </c>
    </row>
    <row r="1782" spans="1:2" x14ac:dyDescent="0.25">
      <c r="A1782" s="8">
        <v>43159</v>
      </c>
      <c r="B1782">
        <v>17.106200000000001</v>
      </c>
    </row>
    <row r="1783" spans="1:2" x14ac:dyDescent="0.25">
      <c r="A1783" s="8">
        <v>43189</v>
      </c>
      <c r="B1783">
        <v>16.193100000000001</v>
      </c>
    </row>
    <row r="1784" spans="1:2" x14ac:dyDescent="0.25">
      <c r="A1784" s="8">
        <v>43220</v>
      </c>
      <c r="B1784">
        <v>16.090599999999998</v>
      </c>
    </row>
    <row r="1785" spans="1:2" x14ac:dyDescent="0.25">
      <c r="A1785" s="8">
        <v>43251</v>
      </c>
      <c r="B1785">
        <v>16.241</v>
      </c>
    </row>
    <row r="1786" spans="1:2" x14ac:dyDescent="0.25">
      <c r="A1786" s="8">
        <v>43280</v>
      </c>
      <c r="B1786">
        <v>15.8187</v>
      </c>
    </row>
    <row r="1787" spans="1:2" x14ac:dyDescent="0.25">
      <c r="A1787" s="8">
        <v>43312</v>
      </c>
      <c r="B1787">
        <v>16.1724</v>
      </c>
    </row>
    <row r="1788" spans="1:2" x14ac:dyDescent="0.25">
      <c r="A1788" s="8">
        <v>43343</v>
      </c>
      <c r="B1788">
        <v>16.011099999999999</v>
      </c>
    </row>
    <row r="1789" spans="1:2" x14ac:dyDescent="0.25">
      <c r="A1789" s="8">
        <v>43371</v>
      </c>
      <c r="B1789">
        <v>15.6412</v>
      </c>
    </row>
    <row r="1790" spans="1:2" x14ac:dyDescent="0.25">
      <c r="A1790" s="8">
        <v>43404</v>
      </c>
      <c r="B1790">
        <v>13.9</v>
      </c>
    </row>
    <row r="1791" spans="1:2" x14ac:dyDescent="0.25">
      <c r="A1791" s="8">
        <v>43434</v>
      </c>
      <c r="B1791">
        <v>15.664300000000001</v>
      </c>
    </row>
    <row r="1792" spans="1:2" x14ac:dyDescent="0.25">
      <c r="A1792" s="8">
        <v>43465</v>
      </c>
      <c r="B1792">
        <v>14.2432</v>
      </c>
    </row>
    <row r="1793" spans="1:2" x14ac:dyDescent="0.25">
      <c r="A1793" s="8">
        <v>43496</v>
      </c>
      <c r="B1793">
        <v>15.9169</v>
      </c>
    </row>
    <row r="1794" spans="1:2" x14ac:dyDescent="0.25">
      <c r="A1794" s="8">
        <v>43524</v>
      </c>
      <c r="B1794">
        <v>16.157499999999999</v>
      </c>
    </row>
    <row r="1795" spans="1:2" x14ac:dyDescent="0.25">
      <c r="A1795" s="8">
        <v>43553</v>
      </c>
      <c r="B1795">
        <v>16.250800000000002</v>
      </c>
    </row>
    <row r="1796" spans="1:2" x14ac:dyDescent="0.25">
      <c r="A1796" s="8">
        <v>43585</v>
      </c>
      <c r="B1796">
        <v>17.473400000000002</v>
      </c>
    </row>
    <row r="1797" spans="1:2" x14ac:dyDescent="0.25">
      <c r="A1797" s="8">
        <v>43616</v>
      </c>
      <c r="B1797">
        <v>16.1614</v>
      </c>
    </row>
    <row r="1798" spans="1:2" x14ac:dyDescent="0.25">
      <c r="A1798" s="8">
        <v>43644</v>
      </c>
      <c r="B1798">
        <v>18.608599999999999</v>
      </c>
    </row>
    <row r="1799" spans="1:2" x14ac:dyDescent="0.25">
      <c r="A1799" s="8">
        <v>43677</v>
      </c>
      <c r="B1799">
        <v>19.323899999999998</v>
      </c>
    </row>
    <row r="1800" spans="1:2" x14ac:dyDescent="0.25">
      <c r="A1800" s="8">
        <v>43707</v>
      </c>
      <c r="B1800">
        <v>18.741099999999999</v>
      </c>
    </row>
    <row r="1801" spans="1:2" x14ac:dyDescent="0.25">
      <c r="A1801" s="8">
        <v>43738</v>
      </c>
      <c r="B1801">
        <v>19.3048</v>
      </c>
    </row>
    <row r="1802" spans="1:2" x14ac:dyDescent="0.25">
      <c r="A1802" s="8">
        <v>43769</v>
      </c>
      <c r="B1802">
        <v>19.528099999999998</v>
      </c>
    </row>
    <row r="1803" spans="1:2" x14ac:dyDescent="0.25">
      <c r="A1803" s="8">
        <v>43798</v>
      </c>
      <c r="B1803">
        <v>20.190899999999999</v>
      </c>
    </row>
    <row r="1804" spans="1:2" x14ac:dyDescent="0.25">
      <c r="A1804" s="8">
        <v>43830</v>
      </c>
      <c r="B1804">
        <v>20.866099999999999</v>
      </c>
    </row>
    <row r="1805" spans="1:2" x14ac:dyDescent="0.25">
      <c r="A1805" s="8">
        <v>43861</v>
      </c>
      <c r="B1805">
        <v>20.6571</v>
      </c>
    </row>
    <row r="1806" spans="1:2" x14ac:dyDescent="0.25">
      <c r="A1806" s="8">
        <v>43889</v>
      </c>
      <c r="B1806">
        <v>17.260300000000001</v>
      </c>
    </row>
    <row r="1807" spans="1:2" x14ac:dyDescent="0.25">
      <c r="A1807" s="8">
        <v>43921</v>
      </c>
      <c r="B1807">
        <v>16.912299999999998</v>
      </c>
    </row>
    <row r="1808" spans="1:2" x14ac:dyDescent="0.25">
      <c r="A1808" s="8">
        <v>43951</v>
      </c>
      <c r="B1808">
        <v>21.896100000000001</v>
      </c>
    </row>
    <row r="1809" spans="1:2" x14ac:dyDescent="0.25">
      <c r="A1809" s="8">
        <v>43980</v>
      </c>
      <c r="B1809">
        <v>24.117799999999999</v>
      </c>
    </row>
    <row r="1810" spans="1:2" x14ac:dyDescent="0.25">
      <c r="A1810" s="8">
        <v>44012</v>
      </c>
      <c r="B1810">
        <v>24.4207</v>
      </c>
    </row>
    <row r="1811" spans="1:2" x14ac:dyDescent="0.25">
      <c r="A1811" s="8">
        <v>44043</v>
      </c>
      <c r="B1811">
        <v>25.702100000000002</v>
      </c>
    </row>
    <row r="1812" spans="1:2" x14ac:dyDescent="0.25">
      <c r="A1812" s="8">
        <v>44074</v>
      </c>
      <c r="B1812">
        <v>26.2346</v>
      </c>
    </row>
    <row r="1813" spans="1:2" x14ac:dyDescent="0.25">
      <c r="A1813" s="8">
        <v>44104</v>
      </c>
      <c r="B1813">
        <v>26.140899999999998</v>
      </c>
    </row>
    <row r="1814" spans="1:2" x14ac:dyDescent="0.25">
      <c r="A1814" s="8">
        <v>44134</v>
      </c>
      <c r="B1814">
        <v>24.497499999999999</v>
      </c>
    </row>
    <row r="1815" spans="1:2" x14ac:dyDescent="0.25">
      <c r="A1815" s="8">
        <v>44165</v>
      </c>
      <c r="B1815">
        <v>26.883500000000002</v>
      </c>
    </row>
    <row r="1816" spans="1:2" x14ac:dyDescent="0.25">
      <c r="A1816" s="8">
        <v>44196</v>
      </c>
      <c r="B1816">
        <v>27.453900000000001</v>
      </c>
    </row>
    <row r="1817" spans="1:2" x14ac:dyDescent="0.25">
      <c r="A1817" s="8">
        <v>44225</v>
      </c>
      <c r="B1817">
        <v>26.0975</v>
      </c>
    </row>
    <row r="1818" spans="1:2" x14ac:dyDescent="0.25">
      <c r="A1818" s="8">
        <v>44253</v>
      </c>
      <c r="B1818">
        <v>19.4068</v>
      </c>
    </row>
    <row r="1819" spans="1:2" x14ac:dyDescent="0.25">
      <c r="A1819" s="8">
        <v>44286</v>
      </c>
      <c r="B1819">
        <v>19.964300000000001</v>
      </c>
    </row>
    <row r="1820" spans="1:2" x14ac:dyDescent="0.25">
      <c r="A1820" s="8">
        <v>44316</v>
      </c>
      <c r="B1820">
        <v>19.453900000000001</v>
      </c>
    </row>
    <row r="1821" spans="1:2" x14ac:dyDescent="0.25">
      <c r="A1821" s="8">
        <v>44347</v>
      </c>
      <c r="B1821">
        <v>19.479099999999999</v>
      </c>
    </row>
    <row r="1822" spans="1:2" x14ac:dyDescent="0.25">
      <c r="A1822" s="8">
        <v>44377</v>
      </c>
      <c r="B1822">
        <v>17.6873</v>
      </c>
    </row>
    <row r="1823" spans="1:2" x14ac:dyDescent="0.25">
      <c r="A1823" s="8">
        <v>44407</v>
      </c>
      <c r="B1823">
        <v>17.051100000000002</v>
      </c>
    </row>
    <row r="1824" spans="1:2" x14ac:dyDescent="0.25">
      <c r="A1824" s="8">
        <v>44439</v>
      </c>
      <c r="B1824">
        <v>16.7775</v>
      </c>
    </row>
    <row r="1825" spans="1:2" x14ac:dyDescent="0.25">
      <c r="A1825" s="8">
        <v>44469</v>
      </c>
      <c r="B1825">
        <v>15.542299999999999</v>
      </c>
    </row>
    <row r="1826" spans="1:2" x14ac:dyDescent="0.25">
      <c r="A1826" s="8">
        <v>44498</v>
      </c>
      <c r="B1826">
        <v>16.4834</v>
      </c>
    </row>
    <row r="1827" spans="1:2" x14ac:dyDescent="0.25">
      <c r="A1827" s="8">
        <v>44530</v>
      </c>
      <c r="B1827">
        <v>16.413599999999999</v>
      </c>
    </row>
    <row r="1828" spans="1:2" x14ac:dyDescent="0.25">
      <c r="A1828" s="8">
        <v>44561</v>
      </c>
      <c r="B1828">
        <v>17.559000000000001</v>
      </c>
    </row>
    <row r="1829" spans="1:2" x14ac:dyDescent="0.25">
      <c r="A1829" s="8">
        <v>44592</v>
      </c>
      <c r="B1829">
        <v>16.654299999999999</v>
      </c>
    </row>
    <row r="1830" spans="1:2" x14ac:dyDescent="0.25">
      <c r="A1830" s="8">
        <v>44620</v>
      </c>
      <c r="B1830">
        <v>15.5191</v>
      </c>
    </row>
    <row r="1831" spans="1:2" x14ac:dyDescent="0.25">
      <c r="A1831" s="8">
        <v>44651</v>
      </c>
      <c r="B1831">
        <v>15.8363</v>
      </c>
    </row>
    <row r="1832" spans="1:2" x14ac:dyDescent="0.25">
      <c r="A1832" s="8">
        <v>44680</v>
      </c>
      <c r="B1832">
        <v>14.6829</v>
      </c>
    </row>
    <row r="1833" spans="1:2" x14ac:dyDescent="0.25">
      <c r="A1833" s="8">
        <v>44712</v>
      </c>
      <c r="B1833">
        <v>14.118</v>
      </c>
    </row>
    <row r="1834" spans="1:2" x14ac:dyDescent="0.25">
      <c r="A1834" s="8">
        <v>44742</v>
      </c>
      <c r="B1834">
        <v>12.026</v>
      </c>
    </row>
    <row r="1835" spans="1:2" x14ac:dyDescent="0.25">
      <c r="A1835" s="8">
        <v>44771</v>
      </c>
      <c r="B1835">
        <v>13.029199999999999</v>
      </c>
    </row>
    <row r="1836" spans="1:2" x14ac:dyDescent="0.25">
      <c r="A1836" s="8">
        <v>44804</v>
      </c>
      <c r="B1836">
        <v>12.6563</v>
      </c>
    </row>
    <row r="1837" spans="1:2" x14ac:dyDescent="0.25">
      <c r="A1837" s="8">
        <v>44834</v>
      </c>
      <c r="B1837">
        <v>11.6441</v>
      </c>
    </row>
    <row r="1838" spans="1:2" x14ac:dyDescent="0.25">
      <c r="A1838" s="8">
        <v>44865</v>
      </c>
      <c r="B1838">
        <v>13.2982</v>
      </c>
    </row>
    <row r="1839" spans="1:2" x14ac:dyDescent="0.25">
      <c r="A1839" s="8">
        <v>44895</v>
      </c>
      <c r="B1839">
        <v>15.2791</v>
      </c>
    </row>
    <row r="1840" spans="1:2" x14ac:dyDescent="0.25">
      <c r="A1840" s="8">
        <v>44925</v>
      </c>
      <c r="B1840">
        <v>13.823700000000001</v>
      </c>
    </row>
    <row r="1841" spans="1:2" x14ac:dyDescent="0.25">
      <c r="A1841" s="8">
        <v>44957</v>
      </c>
      <c r="B1841">
        <v>15.1806</v>
      </c>
    </row>
    <row r="1842" spans="1:2" x14ac:dyDescent="0.25">
      <c r="A1842" s="8">
        <v>44985</v>
      </c>
      <c r="B1842">
        <v>17.991499999999998</v>
      </c>
    </row>
    <row r="1843" spans="1:2" x14ac:dyDescent="0.25">
      <c r="A1843" s="8">
        <v>45016</v>
      </c>
      <c r="B1843">
        <v>17.5151</v>
      </c>
    </row>
    <row r="1844" spans="1:2" x14ac:dyDescent="0.25">
      <c r="A1844" s="8">
        <v>45044</v>
      </c>
      <c r="B1844">
        <v>17.425000000000001</v>
      </c>
    </row>
    <row r="1845" spans="1:2" x14ac:dyDescent="0.25">
      <c r="A1845" s="8">
        <v>45077</v>
      </c>
      <c r="B1845">
        <v>16.2911</v>
      </c>
    </row>
    <row r="1846" spans="1:2" x14ac:dyDescent="0.25">
      <c r="A1846" s="8">
        <v>45107</v>
      </c>
      <c r="B1846">
        <v>18.171600000000002</v>
      </c>
    </row>
    <row r="1847" spans="1:2" x14ac:dyDescent="0.25">
      <c r="A1847" s="8">
        <v>45138</v>
      </c>
      <c r="B1847">
        <v>19.316700000000001</v>
      </c>
    </row>
    <row r="1848" spans="1:2" x14ac:dyDescent="0.25">
      <c r="A1848" s="8">
        <v>45169</v>
      </c>
      <c r="B1848">
        <v>18.6968</v>
      </c>
    </row>
    <row r="1849" spans="1:2" x14ac:dyDescent="0.25">
      <c r="A1849" s="8">
        <v>45198</v>
      </c>
      <c r="B1849">
        <v>17.814699999999998</v>
      </c>
    </row>
    <row r="1850" spans="1:2" x14ac:dyDescent="0.25">
      <c r="A1850" s="8">
        <v>45230</v>
      </c>
      <c r="B1850">
        <v>17.509499999999999</v>
      </c>
    </row>
    <row r="1851" spans="1:2" x14ac:dyDescent="0.25">
      <c r="A1851" s="8">
        <v>45260</v>
      </c>
      <c r="B1851">
        <v>19.4208</v>
      </c>
    </row>
    <row r="1852" spans="1:2" x14ac:dyDescent="0.25">
      <c r="A1852" s="8">
        <v>45289</v>
      </c>
      <c r="B1852">
        <v>20.264299999999999</v>
      </c>
    </row>
    <row r="1853" spans="1:2" x14ac:dyDescent="0.25">
      <c r="A1853" s="8">
        <v>45322</v>
      </c>
      <c r="B1853">
        <v>19.5914</v>
      </c>
    </row>
    <row r="1854" spans="1:2" x14ac:dyDescent="0.25">
      <c r="A1854" s="8">
        <v>45351</v>
      </c>
      <c r="B1854">
        <v>21.0609</v>
      </c>
    </row>
    <row r="1855" spans="1:2" x14ac:dyDescent="0.25">
      <c r="A1855" s="8">
        <v>45380</v>
      </c>
      <c r="B1855">
        <v>22.39</v>
      </c>
    </row>
    <row r="1856" spans="1:2" x14ac:dyDescent="0.25">
      <c r="A1856" s="8">
        <v>45412</v>
      </c>
      <c r="B1856">
        <v>21.1188</v>
      </c>
    </row>
    <row r="1857" spans="1:2" x14ac:dyDescent="0.25">
      <c r="A1857" s="8">
        <v>45443</v>
      </c>
      <c r="B1857">
        <v>21.7713</v>
      </c>
    </row>
    <row r="1858" spans="1:2" x14ac:dyDescent="0.25">
      <c r="A1858" s="8">
        <v>45471</v>
      </c>
      <c r="B1858">
        <v>21.106200000000001</v>
      </c>
    </row>
    <row r="1859" spans="1:2" x14ac:dyDescent="0.25">
      <c r="A1859" s="8">
        <v>45504</v>
      </c>
      <c r="B1859">
        <v>22.2486</v>
      </c>
    </row>
    <row r="1860" spans="1:2" x14ac:dyDescent="0.25">
      <c r="A1860" s="8">
        <v>45534</v>
      </c>
      <c r="B1860">
        <v>23.101800000000001</v>
      </c>
    </row>
    <row r="1861" spans="1:2" x14ac:dyDescent="0.25">
      <c r="A1861" s="8">
        <v>45565</v>
      </c>
      <c r="B1861">
        <v>23.8888</v>
      </c>
    </row>
    <row r="1862" spans="1:2" x14ac:dyDescent="0.25">
      <c r="A1862" s="8">
        <v>45596</v>
      </c>
      <c r="B1862">
        <v>23.3064</v>
      </c>
    </row>
    <row r="1863" spans="1:2" x14ac:dyDescent="0.25">
      <c r="A1863" s="8">
        <v>45625</v>
      </c>
      <c r="B1863">
        <v>24.0943</v>
      </c>
    </row>
    <row r="1864" spans="1:2" x14ac:dyDescent="0.25">
      <c r="A1864" s="8">
        <v>45657</v>
      </c>
      <c r="B1864">
        <v>21.5564</v>
      </c>
    </row>
    <row r="1865" spans="1:2" x14ac:dyDescent="0.25">
      <c r="A1865" s="8">
        <v>45688</v>
      </c>
      <c r="B1865">
        <v>22.5718</v>
      </c>
    </row>
    <row r="1866" spans="1:2" x14ac:dyDescent="0.25">
      <c r="A1866" s="8">
        <v>45716</v>
      </c>
      <c r="B1866">
        <v>21.4709</v>
      </c>
    </row>
    <row r="1867" spans="1:2" x14ac:dyDescent="0.25">
      <c r="A1867" s="8">
        <v>45747</v>
      </c>
      <c r="B1867">
        <v>21.1172</v>
      </c>
    </row>
    <row r="1868" spans="1:2" x14ac:dyDescent="0.25">
      <c r="A1868" s="8">
        <v>45777</v>
      </c>
      <c r="B1868">
        <v>20.983599999999999</v>
      </c>
    </row>
    <row r="1869" spans="1:2" x14ac:dyDescent="0.25">
      <c r="A1869" s="8">
        <v>45807</v>
      </c>
      <c r="B1869">
        <v>21.908899999999999</v>
      </c>
    </row>
    <row r="1870" spans="1:2" x14ac:dyDescent="0.25">
      <c r="A1870" s="8">
        <v>45838</v>
      </c>
      <c r="B1870">
        <v>22.033100000000001</v>
      </c>
    </row>
    <row r="1871" spans="1:2" x14ac:dyDescent="0.25">
      <c r="A1871" s="8">
        <v>45869</v>
      </c>
      <c r="B1871">
        <v>21.9558</v>
      </c>
    </row>
    <row r="1872" spans="1:2" x14ac:dyDescent="0.25">
      <c r="A1872" s="8">
        <v>45898</v>
      </c>
      <c r="B1872">
        <v>23.198799999999999</v>
      </c>
    </row>
    <row r="1873" spans="1:2" x14ac:dyDescent="0.25">
      <c r="A1873" s="8">
        <v>45930</v>
      </c>
      <c r="B1873">
        <v>22.753599999999999</v>
      </c>
    </row>
    <row r="1874" spans="1:2" x14ac:dyDescent="0.25">
      <c r="A1874" s="8">
        <v>45961</v>
      </c>
      <c r="B1874">
        <v>21.826499999999999</v>
      </c>
    </row>
    <row r="1875" spans="1:2" x14ac:dyDescent="0.25">
      <c r="A1875" s="8">
        <v>45989</v>
      </c>
      <c r="B1875">
        <v>23.3034</v>
      </c>
    </row>
    <row r="1876" spans="1:2" x14ac:dyDescent="0.25">
      <c r="A1876" s="8">
        <v>46022</v>
      </c>
      <c r="B1876">
        <v>23.771799999999999</v>
      </c>
    </row>
    <row r="1877" spans="1:2" x14ac:dyDescent="0.25">
      <c r="A1877" s="8">
        <v>46052</v>
      </c>
      <c r="B1877">
        <v>26.075700000000001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B5CF6"/>
  </sheetPr>
  <dimension ref="A1:D932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347</v>
      </c>
      <c r="B1" s="6" t="s">
        <v>348</v>
      </c>
      <c r="C1" s="6" t="s">
        <v>349</v>
      </c>
      <c r="D1" s="6" t="s">
        <v>54</v>
      </c>
    </row>
    <row r="2" spans="1:4" x14ac:dyDescent="0.25">
      <c r="A2" s="8">
        <f ca="1">_xll.BDH("VIX Index","PX_LAST","02/01/2016",TODAY(),"Per=M","cols=2;rows=121")</f>
        <v>42398</v>
      </c>
      <c r="B2">
        <v>20.2</v>
      </c>
    </row>
    <row r="3" spans="1:4" x14ac:dyDescent="0.25">
      <c r="A3" s="8">
        <v>42429</v>
      </c>
      <c r="B3">
        <v>20.55</v>
      </c>
    </row>
    <row r="4" spans="1:4" x14ac:dyDescent="0.25">
      <c r="A4" s="8">
        <v>42460</v>
      </c>
      <c r="B4">
        <v>13.95</v>
      </c>
    </row>
    <row r="5" spans="1:4" x14ac:dyDescent="0.25">
      <c r="A5" s="8">
        <v>42489</v>
      </c>
      <c r="B5">
        <v>15.7</v>
      </c>
    </row>
    <row r="6" spans="1:4" x14ac:dyDescent="0.25">
      <c r="A6" s="8">
        <v>42521</v>
      </c>
      <c r="B6">
        <v>14.19</v>
      </c>
    </row>
    <row r="7" spans="1:4" x14ac:dyDescent="0.25">
      <c r="A7" s="8">
        <v>42551</v>
      </c>
      <c r="B7">
        <v>15.63</v>
      </c>
    </row>
    <row r="8" spans="1:4" x14ac:dyDescent="0.25">
      <c r="A8" s="8">
        <v>42580</v>
      </c>
      <c r="B8">
        <v>11.87</v>
      </c>
    </row>
    <row r="9" spans="1:4" x14ac:dyDescent="0.25">
      <c r="A9" s="8">
        <v>42613</v>
      </c>
      <c r="B9">
        <v>13.42</v>
      </c>
    </row>
    <row r="10" spans="1:4" x14ac:dyDescent="0.25">
      <c r="A10" s="8">
        <v>42643</v>
      </c>
      <c r="B10">
        <v>13.29</v>
      </c>
    </row>
    <row r="11" spans="1:4" x14ac:dyDescent="0.25">
      <c r="A11" s="8">
        <v>42674</v>
      </c>
      <c r="B11">
        <v>17.059999999999999</v>
      </c>
    </row>
    <row r="12" spans="1:4" x14ac:dyDescent="0.25">
      <c r="A12" s="8">
        <v>42704</v>
      </c>
      <c r="B12">
        <v>13.33</v>
      </c>
    </row>
    <row r="13" spans="1:4" x14ac:dyDescent="0.25">
      <c r="A13" s="8">
        <v>42734</v>
      </c>
      <c r="B13">
        <v>14.04</v>
      </c>
    </row>
    <row r="14" spans="1:4" x14ac:dyDescent="0.25">
      <c r="A14" s="8">
        <v>42766</v>
      </c>
      <c r="B14">
        <v>11.99</v>
      </c>
    </row>
    <row r="15" spans="1:4" x14ac:dyDescent="0.25">
      <c r="A15" s="8">
        <v>42794</v>
      </c>
      <c r="B15">
        <v>12.92</v>
      </c>
    </row>
    <row r="16" spans="1:4" x14ac:dyDescent="0.25">
      <c r="A16" s="8">
        <v>42825</v>
      </c>
      <c r="B16">
        <v>12.37</v>
      </c>
    </row>
    <row r="17" spans="1:2" x14ac:dyDescent="0.25">
      <c r="A17" s="8">
        <v>42853</v>
      </c>
      <c r="B17">
        <v>10.82</v>
      </c>
    </row>
    <row r="18" spans="1:2" x14ac:dyDescent="0.25">
      <c r="A18" s="8">
        <v>42886</v>
      </c>
      <c r="B18">
        <v>10.41</v>
      </c>
    </row>
    <row r="19" spans="1:2" x14ac:dyDescent="0.25">
      <c r="A19" s="8">
        <v>42916</v>
      </c>
      <c r="B19">
        <v>11.18</v>
      </c>
    </row>
    <row r="20" spans="1:2" x14ac:dyDescent="0.25">
      <c r="A20" s="8">
        <v>42947</v>
      </c>
      <c r="B20">
        <v>10.26</v>
      </c>
    </row>
    <row r="21" spans="1:2" x14ac:dyDescent="0.25">
      <c r="A21" s="8">
        <v>42978</v>
      </c>
      <c r="B21">
        <v>10.59</v>
      </c>
    </row>
    <row r="22" spans="1:2" x14ac:dyDescent="0.25">
      <c r="A22" s="8">
        <v>43007</v>
      </c>
      <c r="B22">
        <v>9.51</v>
      </c>
    </row>
    <row r="23" spans="1:2" x14ac:dyDescent="0.25">
      <c r="A23" s="8">
        <v>43039</v>
      </c>
      <c r="B23">
        <v>10.18</v>
      </c>
    </row>
    <row r="24" spans="1:2" x14ac:dyDescent="0.25">
      <c r="A24" s="8">
        <v>43069</v>
      </c>
      <c r="B24">
        <v>11.28</v>
      </c>
    </row>
    <row r="25" spans="1:2" x14ac:dyDescent="0.25">
      <c r="A25" s="8">
        <v>43098</v>
      </c>
      <c r="B25">
        <v>11.04</v>
      </c>
    </row>
    <row r="26" spans="1:2" x14ac:dyDescent="0.25">
      <c r="A26" s="8">
        <v>43131</v>
      </c>
      <c r="B26">
        <v>13.54</v>
      </c>
    </row>
    <row r="27" spans="1:2" x14ac:dyDescent="0.25">
      <c r="A27" s="8">
        <v>43159</v>
      </c>
      <c r="B27">
        <v>19.850000000000001</v>
      </c>
    </row>
    <row r="28" spans="1:2" x14ac:dyDescent="0.25">
      <c r="A28" s="8">
        <v>43189</v>
      </c>
      <c r="B28">
        <v>19.97</v>
      </c>
    </row>
    <row r="29" spans="1:2" x14ac:dyDescent="0.25">
      <c r="A29" s="8">
        <v>43220</v>
      </c>
      <c r="B29">
        <v>15.93</v>
      </c>
    </row>
    <row r="30" spans="1:2" x14ac:dyDescent="0.25">
      <c r="A30" s="8">
        <v>43251</v>
      </c>
      <c r="B30">
        <v>15.43</v>
      </c>
    </row>
    <row r="31" spans="1:2" x14ac:dyDescent="0.25">
      <c r="A31" s="8">
        <v>43280</v>
      </c>
      <c r="B31">
        <v>16.09</v>
      </c>
    </row>
    <row r="32" spans="1:2" x14ac:dyDescent="0.25">
      <c r="A32" s="8">
        <v>43312</v>
      </c>
      <c r="B32">
        <v>12.83</v>
      </c>
    </row>
    <row r="33" spans="1:2" x14ac:dyDescent="0.25">
      <c r="A33" s="8">
        <v>43343</v>
      </c>
      <c r="B33">
        <v>12.86</v>
      </c>
    </row>
    <row r="34" spans="1:2" x14ac:dyDescent="0.25">
      <c r="A34" s="8">
        <v>43371</v>
      </c>
      <c r="B34">
        <v>12.12</v>
      </c>
    </row>
    <row r="35" spans="1:2" x14ac:dyDescent="0.25">
      <c r="A35" s="8">
        <v>43404</v>
      </c>
      <c r="B35">
        <v>21.23</v>
      </c>
    </row>
    <row r="36" spans="1:2" x14ac:dyDescent="0.25">
      <c r="A36" s="8">
        <v>43434</v>
      </c>
      <c r="B36">
        <v>18.07</v>
      </c>
    </row>
    <row r="37" spans="1:2" x14ac:dyDescent="0.25">
      <c r="A37" s="8">
        <v>43465</v>
      </c>
      <c r="B37">
        <v>25.42</v>
      </c>
    </row>
    <row r="38" spans="1:2" x14ac:dyDescent="0.25">
      <c r="A38" s="8">
        <v>43496</v>
      </c>
      <c r="B38">
        <v>16.57</v>
      </c>
    </row>
    <row r="39" spans="1:2" x14ac:dyDescent="0.25">
      <c r="A39" s="8">
        <v>43524</v>
      </c>
      <c r="B39">
        <v>14.78</v>
      </c>
    </row>
    <row r="40" spans="1:2" x14ac:dyDescent="0.25">
      <c r="A40" s="8">
        <v>43553</v>
      </c>
      <c r="B40">
        <v>13.71</v>
      </c>
    </row>
    <row r="41" spans="1:2" x14ac:dyDescent="0.25">
      <c r="A41" s="8">
        <v>43585</v>
      </c>
      <c r="B41">
        <v>13.12</v>
      </c>
    </row>
    <row r="42" spans="1:2" x14ac:dyDescent="0.25">
      <c r="A42" s="8">
        <v>43616</v>
      </c>
      <c r="B42">
        <v>18.71</v>
      </c>
    </row>
    <row r="43" spans="1:2" x14ac:dyDescent="0.25">
      <c r="A43" s="8">
        <v>43644</v>
      </c>
      <c r="B43">
        <v>15.08</v>
      </c>
    </row>
    <row r="44" spans="1:2" x14ac:dyDescent="0.25">
      <c r="A44" s="8">
        <v>43677</v>
      </c>
      <c r="B44">
        <v>16.12</v>
      </c>
    </row>
    <row r="45" spans="1:2" x14ac:dyDescent="0.25">
      <c r="A45" s="8">
        <v>43707</v>
      </c>
      <c r="B45">
        <v>18.98</v>
      </c>
    </row>
    <row r="46" spans="1:2" x14ac:dyDescent="0.25">
      <c r="A46" s="8">
        <v>43738</v>
      </c>
      <c r="B46">
        <v>16.239999999999998</v>
      </c>
    </row>
    <row r="47" spans="1:2" x14ac:dyDescent="0.25">
      <c r="A47" s="8">
        <v>43769</v>
      </c>
      <c r="B47">
        <v>13.22</v>
      </c>
    </row>
    <row r="48" spans="1:2" x14ac:dyDescent="0.25">
      <c r="A48" s="8">
        <v>43798</v>
      </c>
      <c r="B48">
        <v>12.62</v>
      </c>
    </row>
    <row r="49" spans="1:2" x14ac:dyDescent="0.25">
      <c r="A49" s="8">
        <v>43830</v>
      </c>
      <c r="B49">
        <v>13.78</v>
      </c>
    </row>
    <row r="50" spans="1:2" x14ac:dyDescent="0.25">
      <c r="A50" s="8">
        <v>43861</v>
      </c>
      <c r="B50">
        <v>18.84</v>
      </c>
    </row>
    <row r="51" spans="1:2" x14ac:dyDescent="0.25">
      <c r="A51" s="8">
        <v>43889</v>
      </c>
      <c r="B51">
        <v>40.11</v>
      </c>
    </row>
    <row r="52" spans="1:2" x14ac:dyDescent="0.25">
      <c r="A52" s="8">
        <v>43921</v>
      </c>
      <c r="B52">
        <v>53.54</v>
      </c>
    </row>
    <row r="53" spans="1:2" x14ac:dyDescent="0.25">
      <c r="A53" s="8">
        <v>43951</v>
      </c>
      <c r="B53">
        <v>34.15</v>
      </c>
    </row>
    <row r="54" spans="1:2" x14ac:dyDescent="0.25">
      <c r="A54" s="8">
        <v>43980</v>
      </c>
      <c r="B54">
        <v>27.51</v>
      </c>
    </row>
    <row r="55" spans="1:2" x14ac:dyDescent="0.25">
      <c r="A55" s="8">
        <v>44012</v>
      </c>
      <c r="B55">
        <v>30.43</v>
      </c>
    </row>
    <row r="56" spans="1:2" x14ac:dyDescent="0.25">
      <c r="A56" s="8">
        <v>44043</v>
      </c>
      <c r="B56">
        <v>24.46</v>
      </c>
    </row>
    <row r="57" spans="1:2" x14ac:dyDescent="0.25">
      <c r="A57" s="8">
        <v>44074</v>
      </c>
      <c r="B57">
        <v>26.41</v>
      </c>
    </row>
    <row r="58" spans="1:2" x14ac:dyDescent="0.25">
      <c r="A58" s="8">
        <v>44104</v>
      </c>
      <c r="B58">
        <v>26.37</v>
      </c>
    </row>
    <row r="59" spans="1:2" x14ac:dyDescent="0.25">
      <c r="A59" s="8">
        <v>44134</v>
      </c>
      <c r="B59">
        <v>38.020000000000003</v>
      </c>
    </row>
    <row r="60" spans="1:2" x14ac:dyDescent="0.25">
      <c r="A60" s="8">
        <v>44165</v>
      </c>
      <c r="B60">
        <v>20.57</v>
      </c>
    </row>
    <row r="61" spans="1:2" x14ac:dyDescent="0.25">
      <c r="A61" s="8">
        <v>44196</v>
      </c>
      <c r="B61">
        <v>22.75</v>
      </c>
    </row>
    <row r="62" spans="1:2" x14ac:dyDescent="0.25">
      <c r="A62" s="8">
        <v>44225</v>
      </c>
      <c r="B62">
        <v>33.090000000000003</v>
      </c>
    </row>
    <row r="63" spans="1:2" x14ac:dyDescent="0.25">
      <c r="A63" s="8">
        <v>44253</v>
      </c>
      <c r="B63">
        <v>27.95</v>
      </c>
    </row>
    <row r="64" spans="1:2" x14ac:dyDescent="0.25">
      <c r="A64" s="8">
        <v>44286</v>
      </c>
      <c r="B64">
        <v>19.399999999999999</v>
      </c>
    </row>
    <row r="65" spans="1:2" x14ac:dyDescent="0.25">
      <c r="A65" s="8">
        <v>44316</v>
      </c>
      <c r="B65">
        <v>18.61</v>
      </c>
    </row>
    <row r="66" spans="1:2" x14ac:dyDescent="0.25">
      <c r="A66" s="8">
        <v>44347</v>
      </c>
      <c r="B66">
        <v>16.760000000000002</v>
      </c>
    </row>
    <row r="67" spans="1:2" x14ac:dyDescent="0.25">
      <c r="A67" s="8">
        <v>44377</v>
      </c>
      <c r="B67">
        <v>15.83</v>
      </c>
    </row>
    <row r="68" spans="1:2" x14ac:dyDescent="0.25">
      <c r="A68" s="8">
        <v>44407</v>
      </c>
      <c r="B68">
        <v>18.239999999999998</v>
      </c>
    </row>
    <row r="69" spans="1:2" x14ac:dyDescent="0.25">
      <c r="A69" s="8">
        <v>44439</v>
      </c>
      <c r="B69">
        <v>16.48</v>
      </c>
    </row>
    <row r="70" spans="1:2" x14ac:dyDescent="0.25">
      <c r="A70" s="8">
        <v>44469</v>
      </c>
      <c r="B70">
        <v>23.14</v>
      </c>
    </row>
    <row r="71" spans="1:2" x14ac:dyDescent="0.25">
      <c r="A71" s="8">
        <v>44498</v>
      </c>
      <c r="B71">
        <v>16.260000000000002</v>
      </c>
    </row>
    <row r="72" spans="1:2" x14ac:dyDescent="0.25">
      <c r="A72" s="8">
        <v>44530</v>
      </c>
      <c r="B72">
        <v>27.19</v>
      </c>
    </row>
    <row r="73" spans="1:2" x14ac:dyDescent="0.25">
      <c r="A73" s="8">
        <v>44561</v>
      </c>
      <c r="B73">
        <v>17.22</v>
      </c>
    </row>
    <row r="74" spans="1:2" x14ac:dyDescent="0.25">
      <c r="A74" s="8">
        <v>44592</v>
      </c>
      <c r="B74">
        <v>24.83</v>
      </c>
    </row>
    <row r="75" spans="1:2" x14ac:dyDescent="0.25">
      <c r="A75" s="8">
        <v>44620</v>
      </c>
      <c r="B75">
        <v>30.15</v>
      </c>
    </row>
    <row r="76" spans="1:2" x14ac:dyDescent="0.25">
      <c r="A76" s="8">
        <v>44651</v>
      </c>
      <c r="B76">
        <v>20.56</v>
      </c>
    </row>
    <row r="77" spans="1:2" x14ac:dyDescent="0.25">
      <c r="A77" s="8">
        <v>44680</v>
      </c>
      <c r="B77">
        <v>33.4</v>
      </c>
    </row>
    <row r="78" spans="1:2" x14ac:dyDescent="0.25">
      <c r="A78" s="8">
        <v>44712</v>
      </c>
      <c r="B78">
        <v>26.19</v>
      </c>
    </row>
    <row r="79" spans="1:2" x14ac:dyDescent="0.25">
      <c r="A79" s="8">
        <v>44742</v>
      </c>
      <c r="B79">
        <v>28.71</v>
      </c>
    </row>
    <row r="80" spans="1:2" x14ac:dyDescent="0.25">
      <c r="A80" s="8">
        <v>44771</v>
      </c>
      <c r="B80">
        <v>21.33</v>
      </c>
    </row>
    <row r="81" spans="1:2" x14ac:dyDescent="0.25">
      <c r="A81" s="8">
        <v>44804</v>
      </c>
      <c r="B81">
        <v>25.87</v>
      </c>
    </row>
    <row r="82" spans="1:2" x14ac:dyDescent="0.25">
      <c r="A82" s="8">
        <v>44834</v>
      </c>
      <c r="B82">
        <v>31.62</v>
      </c>
    </row>
    <row r="83" spans="1:2" x14ac:dyDescent="0.25">
      <c r="A83" s="8">
        <v>44865</v>
      </c>
      <c r="B83">
        <v>25.88</v>
      </c>
    </row>
    <row r="84" spans="1:2" x14ac:dyDescent="0.25">
      <c r="A84" s="8">
        <v>44895</v>
      </c>
      <c r="B84">
        <v>20.58</v>
      </c>
    </row>
    <row r="85" spans="1:2" x14ac:dyDescent="0.25">
      <c r="A85" s="8">
        <v>44925</v>
      </c>
      <c r="B85">
        <v>21.67</v>
      </c>
    </row>
    <row r="86" spans="1:2" x14ac:dyDescent="0.25">
      <c r="A86" s="8">
        <v>44957</v>
      </c>
      <c r="B86">
        <v>19.399999999999999</v>
      </c>
    </row>
    <row r="87" spans="1:2" x14ac:dyDescent="0.25">
      <c r="A87" s="8">
        <v>44985</v>
      </c>
      <c r="B87">
        <v>20.7</v>
      </c>
    </row>
    <row r="88" spans="1:2" x14ac:dyDescent="0.25">
      <c r="A88" s="8">
        <v>45016</v>
      </c>
      <c r="B88">
        <v>18.7</v>
      </c>
    </row>
    <row r="89" spans="1:2" x14ac:dyDescent="0.25">
      <c r="A89" s="8">
        <v>45044</v>
      </c>
      <c r="B89">
        <v>15.78</v>
      </c>
    </row>
    <row r="90" spans="1:2" x14ac:dyDescent="0.25">
      <c r="A90" s="8">
        <v>45077</v>
      </c>
      <c r="B90">
        <v>17.940000000000001</v>
      </c>
    </row>
    <row r="91" spans="1:2" x14ac:dyDescent="0.25">
      <c r="A91" s="8">
        <v>45107</v>
      </c>
      <c r="B91">
        <v>13.59</v>
      </c>
    </row>
    <row r="92" spans="1:2" x14ac:dyDescent="0.25">
      <c r="A92" s="8">
        <v>45138</v>
      </c>
      <c r="B92">
        <v>13.63</v>
      </c>
    </row>
    <row r="93" spans="1:2" x14ac:dyDescent="0.25">
      <c r="A93" s="8">
        <v>45169</v>
      </c>
      <c r="B93">
        <v>13.57</v>
      </c>
    </row>
    <row r="94" spans="1:2" x14ac:dyDescent="0.25">
      <c r="A94" s="8">
        <v>45198</v>
      </c>
      <c r="B94">
        <v>17.52</v>
      </c>
    </row>
    <row r="95" spans="1:2" x14ac:dyDescent="0.25">
      <c r="A95" s="8">
        <v>45230</v>
      </c>
      <c r="B95">
        <v>18.14</v>
      </c>
    </row>
    <row r="96" spans="1:2" x14ac:dyDescent="0.25">
      <c r="A96" s="8">
        <v>45260</v>
      </c>
      <c r="B96">
        <v>12.92</v>
      </c>
    </row>
    <row r="97" spans="1:2" x14ac:dyDescent="0.25">
      <c r="A97" s="8">
        <v>45289</v>
      </c>
      <c r="B97">
        <v>12.45</v>
      </c>
    </row>
    <row r="98" spans="1:2" x14ac:dyDescent="0.25">
      <c r="A98" s="8">
        <v>45322</v>
      </c>
      <c r="B98">
        <v>14.35</v>
      </c>
    </row>
    <row r="99" spans="1:2" x14ac:dyDescent="0.25">
      <c r="A99" s="8">
        <v>45351</v>
      </c>
      <c r="B99">
        <v>13.4</v>
      </c>
    </row>
    <row r="100" spans="1:2" x14ac:dyDescent="0.25">
      <c r="A100" s="8">
        <v>45380</v>
      </c>
      <c r="B100">
        <v>13.01</v>
      </c>
    </row>
    <row r="101" spans="1:2" x14ac:dyDescent="0.25">
      <c r="A101" s="8">
        <v>45412</v>
      </c>
      <c r="B101">
        <v>15.65</v>
      </c>
    </row>
    <row r="102" spans="1:2" x14ac:dyDescent="0.25">
      <c r="A102" s="8">
        <v>45443</v>
      </c>
      <c r="B102">
        <v>12.92</v>
      </c>
    </row>
    <row r="103" spans="1:2" x14ac:dyDescent="0.25">
      <c r="A103" s="8">
        <v>45471</v>
      </c>
      <c r="B103">
        <v>12.44</v>
      </c>
    </row>
    <row r="104" spans="1:2" x14ac:dyDescent="0.25">
      <c r="A104" s="8">
        <v>45504</v>
      </c>
      <c r="B104">
        <v>16.36</v>
      </c>
    </row>
    <row r="105" spans="1:2" x14ac:dyDescent="0.25">
      <c r="A105" s="8">
        <v>45534</v>
      </c>
      <c r="B105">
        <v>15</v>
      </c>
    </row>
    <row r="106" spans="1:2" x14ac:dyDescent="0.25">
      <c r="A106" s="8">
        <v>45565</v>
      </c>
      <c r="B106">
        <v>16.73</v>
      </c>
    </row>
    <row r="107" spans="1:2" x14ac:dyDescent="0.25">
      <c r="A107" s="8">
        <v>45596</v>
      </c>
      <c r="B107">
        <v>23.16</v>
      </c>
    </row>
    <row r="108" spans="1:2" x14ac:dyDescent="0.25">
      <c r="A108" s="8">
        <v>45625</v>
      </c>
      <c r="B108">
        <v>13.51</v>
      </c>
    </row>
    <row r="109" spans="1:2" x14ac:dyDescent="0.25">
      <c r="A109" s="8">
        <v>45657</v>
      </c>
      <c r="B109">
        <v>17.350000000000001</v>
      </c>
    </row>
    <row r="110" spans="1:2" x14ac:dyDescent="0.25">
      <c r="A110" s="8">
        <v>45688</v>
      </c>
      <c r="B110">
        <v>16.43</v>
      </c>
    </row>
    <row r="111" spans="1:2" x14ac:dyDescent="0.25">
      <c r="A111" s="8">
        <v>45716</v>
      </c>
      <c r="B111">
        <v>19.63</v>
      </c>
    </row>
    <row r="112" spans="1:2" x14ac:dyDescent="0.25">
      <c r="A112" s="8">
        <v>45747</v>
      </c>
      <c r="B112">
        <v>22.28</v>
      </c>
    </row>
    <row r="113" spans="1:2" x14ac:dyDescent="0.25">
      <c r="A113" s="8">
        <v>45777</v>
      </c>
      <c r="B113">
        <v>24.7</v>
      </c>
    </row>
    <row r="114" spans="1:2" x14ac:dyDescent="0.25">
      <c r="A114" s="8">
        <v>45807</v>
      </c>
      <c r="B114">
        <v>18.57</v>
      </c>
    </row>
    <row r="115" spans="1:2" x14ac:dyDescent="0.25">
      <c r="A115" s="8">
        <v>45838</v>
      </c>
      <c r="B115">
        <v>16.73</v>
      </c>
    </row>
    <row r="116" spans="1:2" x14ac:dyDescent="0.25">
      <c r="A116" s="8">
        <v>45869</v>
      </c>
      <c r="B116">
        <v>16.72</v>
      </c>
    </row>
    <row r="117" spans="1:2" x14ac:dyDescent="0.25">
      <c r="A117" s="8">
        <v>45898</v>
      </c>
      <c r="B117">
        <v>15.36</v>
      </c>
    </row>
    <row r="118" spans="1:2" x14ac:dyDescent="0.25">
      <c r="A118" s="8">
        <v>45930</v>
      </c>
      <c r="B118">
        <v>16.28</v>
      </c>
    </row>
    <row r="119" spans="1:2" x14ac:dyDescent="0.25">
      <c r="A119" s="8">
        <v>45961</v>
      </c>
      <c r="B119">
        <v>17.440000000000001</v>
      </c>
    </row>
    <row r="120" spans="1:2" x14ac:dyDescent="0.25">
      <c r="A120" s="8">
        <v>45989</v>
      </c>
      <c r="B120">
        <v>16.350000000000001</v>
      </c>
    </row>
    <row r="121" spans="1:2" x14ac:dyDescent="0.25">
      <c r="A121" s="8">
        <v>46022</v>
      </c>
      <c r="B121">
        <v>14.95</v>
      </c>
    </row>
    <row r="122" spans="1:2" x14ac:dyDescent="0.25">
      <c r="A122" s="8">
        <v>46052</v>
      </c>
      <c r="B122">
        <v>17.440000000000001</v>
      </c>
    </row>
    <row r="136" spans="1:4" x14ac:dyDescent="0.25">
      <c r="A136" s="6" t="s">
        <v>350</v>
      </c>
      <c r="B136" s="6" t="s">
        <v>351</v>
      </c>
      <c r="C136" s="6" t="s">
        <v>352</v>
      </c>
      <c r="D136" s="6" t="s">
        <v>54</v>
      </c>
    </row>
    <row r="137" spans="1:4" x14ac:dyDescent="0.25">
      <c r="A137" s="8">
        <f ca="1">_xll.BDH("MOVE Index","PX_LAST","02/01/2016",TODAY(),"Per=M","cols=2;rows=121")</f>
        <v>42400</v>
      </c>
      <c r="B137">
        <v>74.003900000000002</v>
      </c>
    </row>
    <row r="138" spans="1:4" x14ac:dyDescent="0.25">
      <c r="A138" s="8">
        <v>42429</v>
      </c>
      <c r="B138">
        <v>83.385599999999997</v>
      </c>
    </row>
    <row r="139" spans="1:4" x14ac:dyDescent="0.25">
      <c r="A139" s="8">
        <v>42460</v>
      </c>
      <c r="B139">
        <v>68.802700000000002</v>
      </c>
    </row>
    <row r="140" spans="1:4" x14ac:dyDescent="0.25">
      <c r="A140" s="8">
        <v>42490</v>
      </c>
      <c r="B140">
        <v>64.921000000000006</v>
      </c>
    </row>
    <row r="141" spans="1:4" x14ac:dyDescent="0.25">
      <c r="A141" s="8">
        <v>42521</v>
      </c>
      <c r="B141">
        <v>67.914900000000003</v>
      </c>
    </row>
    <row r="142" spans="1:4" x14ac:dyDescent="0.25">
      <c r="A142" s="8">
        <v>42551</v>
      </c>
      <c r="B142">
        <v>72.638599999999997</v>
      </c>
    </row>
    <row r="143" spans="1:4" x14ac:dyDescent="0.25">
      <c r="A143" s="8">
        <v>42582</v>
      </c>
      <c r="B143">
        <v>64.146799999999999</v>
      </c>
    </row>
    <row r="144" spans="1:4" x14ac:dyDescent="0.25">
      <c r="A144" s="8">
        <v>42613</v>
      </c>
      <c r="B144">
        <v>69.080600000000004</v>
      </c>
    </row>
    <row r="145" spans="1:2" x14ac:dyDescent="0.25">
      <c r="A145" s="8">
        <v>42643</v>
      </c>
      <c r="B145">
        <v>60.555999999999997</v>
      </c>
    </row>
    <row r="146" spans="1:2" x14ac:dyDescent="0.25">
      <c r="A146" s="8">
        <v>42674</v>
      </c>
      <c r="B146">
        <v>65.465000000000003</v>
      </c>
    </row>
    <row r="147" spans="1:2" x14ac:dyDescent="0.25">
      <c r="A147" s="8">
        <v>42704</v>
      </c>
      <c r="B147">
        <v>80.955299999999994</v>
      </c>
    </row>
    <row r="148" spans="1:2" x14ac:dyDescent="0.25">
      <c r="A148" s="8">
        <v>42735</v>
      </c>
      <c r="B148">
        <v>71.6297</v>
      </c>
    </row>
    <row r="149" spans="1:2" x14ac:dyDescent="0.25">
      <c r="A149" s="8">
        <v>42766</v>
      </c>
      <c r="B149">
        <v>72.515299999999996</v>
      </c>
    </row>
    <row r="150" spans="1:2" x14ac:dyDescent="0.25">
      <c r="A150" s="8">
        <v>42794</v>
      </c>
      <c r="B150">
        <v>71.293700000000001</v>
      </c>
    </row>
    <row r="151" spans="1:2" x14ac:dyDescent="0.25">
      <c r="A151" s="8">
        <v>42825</v>
      </c>
      <c r="B151">
        <v>60.698700000000002</v>
      </c>
    </row>
    <row r="152" spans="1:2" x14ac:dyDescent="0.25">
      <c r="A152" s="8">
        <v>42855</v>
      </c>
      <c r="B152">
        <v>60.192500000000003</v>
      </c>
    </row>
    <row r="153" spans="1:2" x14ac:dyDescent="0.25">
      <c r="A153" s="8">
        <v>42886</v>
      </c>
      <c r="B153">
        <v>53.950899999999997</v>
      </c>
    </row>
    <row r="154" spans="1:2" x14ac:dyDescent="0.25">
      <c r="A154" s="8">
        <v>42916</v>
      </c>
      <c r="B154">
        <v>55.220100000000002</v>
      </c>
    </row>
    <row r="155" spans="1:2" x14ac:dyDescent="0.25">
      <c r="A155" s="8">
        <v>42947</v>
      </c>
      <c r="B155">
        <v>48.137500000000003</v>
      </c>
    </row>
    <row r="156" spans="1:2" x14ac:dyDescent="0.25">
      <c r="A156" s="8">
        <v>42978</v>
      </c>
      <c r="B156">
        <v>51.131100000000004</v>
      </c>
    </row>
    <row r="157" spans="1:2" x14ac:dyDescent="0.25">
      <c r="A157" s="8">
        <v>43008</v>
      </c>
      <c r="B157">
        <v>52.8752</v>
      </c>
    </row>
    <row r="158" spans="1:2" x14ac:dyDescent="0.25">
      <c r="A158" s="8">
        <v>43039</v>
      </c>
      <c r="B158">
        <v>51.148499999999999</v>
      </c>
    </row>
    <row r="159" spans="1:2" x14ac:dyDescent="0.25">
      <c r="A159" s="8">
        <v>43069</v>
      </c>
      <c r="B159">
        <v>46.827100000000002</v>
      </c>
    </row>
    <row r="160" spans="1:2" x14ac:dyDescent="0.25">
      <c r="A160" s="8">
        <v>43100</v>
      </c>
      <c r="B160">
        <v>46.596200000000003</v>
      </c>
    </row>
    <row r="161" spans="1:2" x14ac:dyDescent="0.25">
      <c r="A161" s="8">
        <v>43131</v>
      </c>
      <c r="B161">
        <v>57.195700000000002</v>
      </c>
    </row>
    <row r="162" spans="1:2" x14ac:dyDescent="0.25">
      <c r="A162" s="8">
        <v>43159</v>
      </c>
      <c r="B162">
        <v>62.973500000000001</v>
      </c>
    </row>
    <row r="163" spans="1:2" x14ac:dyDescent="0.25">
      <c r="A163" s="8">
        <v>43190</v>
      </c>
      <c r="B163">
        <v>58.541400000000003</v>
      </c>
    </row>
    <row r="164" spans="1:2" x14ac:dyDescent="0.25">
      <c r="A164" s="8">
        <v>43220</v>
      </c>
      <c r="B164">
        <v>50.354799999999997</v>
      </c>
    </row>
    <row r="165" spans="1:2" x14ac:dyDescent="0.25">
      <c r="A165" s="8">
        <v>43251</v>
      </c>
      <c r="B165">
        <v>60.543799999999997</v>
      </c>
    </row>
    <row r="166" spans="1:2" x14ac:dyDescent="0.25">
      <c r="A166" s="8">
        <v>43281</v>
      </c>
      <c r="B166">
        <v>51.168100000000003</v>
      </c>
    </row>
    <row r="167" spans="1:2" x14ac:dyDescent="0.25">
      <c r="A167" s="8">
        <v>43312</v>
      </c>
      <c r="B167">
        <v>46.503799999999998</v>
      </c>
    </row>
    <row r="168" spans="1:2" x14ac:dyDescent="0.25">
      <c r="A168" s="8">
        <v>43343</v>
      </c>
      <c r="B168">
        <v>50.709699999999998</v>
      </c>
    </row>
    <row r="169" spans="1:2" x14ac:dyDescent="0.25">
      <c r="A169" s="8">
        <v>43373</v>
      </c>
      <c r="B169">
        <v>46.163400000000003</v>
      </c>
    </row>
    <row r="170" spans="1:2" x14ac:dyDescent="0.25">
      <c r="A170" s="8">
        <v>43404</v>
      </c>
      <c r="B170">
        <v>60.128500000000003</v>
      </c>
    </row>
    <row r="171" spans="1:2" x14ac:dyDescent="0.25">
      <c r="A171" s="8">
        <v>43434</v>
      </c>
      <c r="B171">
        <v>52.432200000000002</v>
      </c>
    </row>
    <row r="172" spans="1:2" x14ac:dyDescent="0.25">
      <c r="A172" s="8">
        <v>43465</v>
      </c>
      <c r="B172">
        <v>66.582800000000006</v>
      </c>
    </row>
    <row r="173" spans="1:2" x14ac:dyDescent="0.25">
      <c r="A173" s="8">
        <v>43496</v>
      </c>
      <c r="B173">
        <v>49.811700000000002</v>
      </c>
    </row>
    <row r="174" spans="1:2" x14ac:dyDescent="0.25">
      <c r="A174" s="8">
        <v>43524</v>
      </c>
      <c r="B174">
        <v>47.218299999999999</v>
      </c>
    </row>
    <row r="175" spans="1:2" x14ac:dyDescent="0.25">
      <c r="A175" s="8">
        <v>43555</v>
      </c>
      <c r="B175">
        <v>58.547800000000002</v>
      </c>
    </row>
    <row r="176" spans="1:2" x14ac:dyDescent="0.25">
      <c r="A176" s="8">
        <v>43585</v>
      </c>
      <c r="B176">
        <v>49.4711</v>
      </c>
    </row>
    <row r="177" spans="1:2" x14ac:dyDescent="0.25">
      <c r="A177" s="8">
        <v>43616</v>
      </c>
      <c r="B177">
        <v>72.680999999999997</v>
      </c>
    </row>
    <row r="178" spans="1:2" x14ac:dyDescent="0.25">
      <c r="A178" s="8">
        <v>43646</v>
      </c>
      <c r="B178">
        <v>70.433899999999994</v>
      </c>
    </row>
    <row r="179" spans="1:2" x14ac:dyDescent="0.25">
      <c r="A179" s="8">
        <v>43677</v>
      </c>
      <c r="B179">
        <v>55.2468</v>
      </c>
    </row>
    <row r="180" spans="1:2" x14ac:dyDescent="0.25">
      <c r="A180" s="8">
        <v>43708</v>
      </c>
      <c r="B180">
        <v>86.889700000000005</v>
      </c>
    </row>
    <row r="181" spans="1:2" x14ac:dyDescent="0.25">
      <c r="A181" s="8">
        <v>43738</v>
      </c>
      <c r="B181">
        <v>77.200500000000005</v>
      </c>
    </row>
    <row r="182" spans="1:2" x14ac:dyDescent="0.25">
      <c r="A182" s="8">
        <v>43769</v>
      </c>
      <c r="B182">
        <v>65.88</v>
      </c>
    </row>
    <row r="183" spans="1:2" x14ac:dyDescent="0.25">
      <c r="A183" s="8">
        <v>43799</v>
      </c>
      <c r="B183">
        <v>56.57</v>
      </c>
    </row>
    <row r="184" spans="1:2" x14ac:dyDescent="0.25">
      <c r="A184" s="8">
        <v>43830</v>
      </c>
      <c r="B184">
        <v>58.28</v>
      </c>
    </row>
    <row r="185" spans="1:2" x14ac:dyDescent="0.25">
      <c r="A185" s="8">
        <v>43861</v>
      </c>
      <c r="B185">
        <v>72.98</v>
      </c>
    </row>
    <row r="186" spans="1:2" x14ac:dyDescent="0.25">
      <c r="A186" s="8">
        <v>43890</v>
      </c>
      <c r="B186">
        <v>109.67</v>
      </c>
    </row>
    <row r="187" spans="1:2" x14ac:dyDescent="0.25">
      <c r="A187" s="8">
        <v>43921</v>
      </c>
      <c r="B187">
        <v>83.87</v>
      </c>
    </row>
    <row r="188" spans="1:2" x14ac:dyDescent="0.25">
      <c r="A188" s="8">
        <v>43951</v>
      </c>
      <c r="B188">
        <v>53.59</v>
      </c>
    </row>
    <row r="189" spans="1:2" x14ac:dyDescent="0.25">
      <c r="A189" s="8">
        <v>43982</v>
      </c>
      <c r="B189">
        <v>51.55</v>
      </c>
    </row>
    <row r="190" spans="1:2" x14ac:dyDescent="0.25">
      <c r="A190" s="8">
        <v>44012</v>
      </c>
      <c r="B190">
        <v>54.13</v>
      </c>
    </row>
    <row r="191" spans="1:2" x14ac:dyDescent="0.25">
      <c r="A191" s="8">
        <v>44043</v>
      </c>
      <c r="B191">
        <v>41.98</v>
      </c>
    </row>
    <row r="192" spans="1:2" x14ac:dyDescent="0.25">
      <c r="A192" s="8">
        <v>44074</v>
      </c>
      <c r="B192">
        <v>47.02</v>
      </c>
    </row>
    <row r="193" spans="1:2" x14ac:dyDescent="0.25">
      <c r="A193" s="8">
        <v>44104</v>
      </c>
      <c r="B193">
        <v>39.21</v>
      </c>
    </row>
    <row r="194" spans="1:2" x14ac:dyDescent="0.25">
      <c r="A194" s="8">
        <v>44135</v>
      </c>
      <c r="B194">
        <v>61.91</v>
      </c>
    </row>
    <row r="195" spans="1:2" x14ac:dyDescent="0.25">
      <c r="A195" s="8">
        <v>44165</v>
      </c>
      <c r="B195">
        <v>40.840000000000003</v>
      </c>
    </row>
    <row r="196" spans="1:2" x14ac:dyDescent="0.25">
      <c r="A196" s="8">
        <v>44196</v>
      </c>
      <c r="B196">
        <v>48.98</v>
      </c>
    </row>
    <row r="197" spans="1:2" x14ac:dyDescent="0.25">
      <c r="A197" s="8">
        <v>44227</v>
      </c>
      <c r="B197">
        <v>47.41</v>
      </c>
    </row>
    <row r="198" spans="1:2" x14ac:dyDescent="0.25">
      <c r="A198" s="8">
        <v>44255</v>
      </c>
      <c r="B198">
        <v>75.66</v>
      </c>
    </row>
    <row r="199" spans="1:2" x14ac:dyDescent="0.25">
      <c r="A199" s="8">
        <v>44286</v>
      </c>
      <c r="B199">
        <v>71.27</v>
      </c>
    </row>
    <row r="200" spans="1:2" x14ac:dyDescent="0.25">
      <c r="A200" s="8">
        <v>44316</v>
      </c>
      <c r="B200">
        <v>58.13</v>
      </c>
    </row>
    <row r="201" spans="1:2" x14ac:dyDescent="0.25">
      <c r="A201" s="8">
        <v>44347</v>
      </c>
      <c r="B201">
        <v>52.04</v>
      </c>
    </row>
    <row r="202" spans="1:2" x14ac:dyDescent="0.25">
      <c r="A202" s="8">
        <v>44377</v>
      </c>
      <c r="B202">
        <v>57.27</v>
      </c>
    </row>
    <row r="203" spans="1:2" x14ac:dyDescent="0.25">
      <c r="A203" s="8">
        <v>44408</v>
      </c>
      <c r="B203">
        <v>61.19</v>
      </c>
    </row>
    <row r="204" spans="1:2" x14ac:dyDescent="0.25">
      <c r="A204" s="8">
        <v>44439</v>
      </c>
      <c r="B204">
        <v>59.54</v>
      </c>
    </row>
    <row r="205" spans="1:2" x14ac:dyDescent="0.25">
      <c r="A205" s="8">
        <v>44469</v>
      </c>
      <c r="B205">
        <v>61.07</v>
      </c>
    </row>
    <row r="206" spans="1:2" x14ac:dyDescent="0.25">
      <c r="A206" s="8">
        <v>44500</v>
      </c>
      <c r="B206">
        <v>75.45</v>
      </c>
    </row>
    <row r="207" spans="1:2" x14ac:dyDescent="0.25">
      <c r="A207" s="8">
        <v>44530</v>
      </c>
      <c r="B207">
        <v>84.04</v>
      </c>
    </row>
    <row r="208" spans="1:2" x14ac:dyDescent="0.25">
      <c r="A208" s="8">
        <v>44561</v>
      </c>
      <c r="B208">
        <v>77.099999999999994</v>
      </c>
    </row>
    <row r="209" spans="1:2" x14ac:dyDescent="0.25">
      <c r="A209" s="8">
        <v>44592</v>
      </c>
      <c r="B209">
        <v>85.14</v>
      </c>
    </row>
    <row r="210" spans="1:2" x14ac:dyDescent="0.25">
      <c r="A210" s="8">
        <v>44620</v>
      </c>
      <c r="B210">
        <v>100.4</v>
      </c>
    </row>
    <row r="211" spans="1:2" x14ac:dyDescent="0.25">
      <c r="A211" s="8">
        <v>44651</v>
      </c>
      <c r="B211">
        <v>106.88</v>
      </c>
    </row>
    <row r="212" spans="1:2" x14ac:dyDescent="0.25">
      <c r="A212" s="8">
        <v>44681</v>
      </c>
      <c r="B212">
        <v>128.4</v>
      </c>
    </row>
    <row r="213" spans="1:2" x14ac:dyDescent="0.25">
      <c r="A213" s="8">
        <v>44712</v>
      </c>
      <c r="B213">
        <v>107.12</v>
      </c>
    </row>
    <row r="214" spans="1:2" x14ac:dyDescent="0.25">
      <c r="A214" s="8">
        <v>44742</v>
      </c>
      <c r="B214">
        <v>135.5</v>
      </c>
    </row>
    <row r="215" spans="1:2" x14ac:dyDescent="0.25">
      <c r="A215" s="8">
        <v>44773</v>
      </c>
      <c r="B215">
        <v>116.36</v>
      </c>
    </row>
    <row r="216" spans="1:2" x14ac:dyDescent="0.25">
      <c r="A216" s="8">
        <v>44804</v>
      </c>
      <c r="B216">
        <v>124.84</v>
      </c>
    </row>
    <row r="217" spans="1:2" x14ac:dyDescent="0.25">
      <c r="A217" s="8">
        <v>44834</v>
      </c>
      <c r="B217">
        <v>141.88999999999999</v>
      </c>
    </row>
    <row r="218" spans="1:2" x14ac:dyDescent="0.25">
      <c r="A218" s="8">
        <v>44865</v>
      </c>
      <c r="B218">
        <v>147.91999999999999</v>
      </c>
    </row>
    <row r="219" spans="1:2" x14ac:dyDescent="0.25">
      <c r="A219" s="8">
        <v>44895</v>
      </c>
      <c r="B219">
        <v>127.27</v>
      </c>
    </row>
    <row r="220" spans="1:2" x14ac:dyDescent="0.25">
      <c r="A220" s="8">
        <v>44926</v>
      </c>
      <c r="B220">
        <v>121.61</v>
      </c>
    </row>
    <row r="221" spans="1:2" x14ac:dyDescent="0.25">
      <c r="A221" s="8">
        <v>44957</v>
      </c>
      <c r="B221">
        <v>99.54</v>
      </c>
    </row>
    <row r="222" spans="1:2" x14ac:dyDescent="0.25">
      <c r="A222" s="8">
        <v>44985</v>
      </c>
      <c r="B222">
        <v>123.6</v>
      </c>
    </row>
    <row r="223" spans="1:2" x14ac:dyDescent="0.25">
      <c r="A223" s="8">
        <v>45016</v>
      </c>
      <c r="B223">
        <v>135.93</v>
      </c>
    </row>
    <row r="224" spans="1:2" x14ac:dyDescent="0.25">
      <c r="A224" s="8">
        <v>45046</v>
      </c>
      <c r="B224">
        <v>122.46</v>
      </c>
    </row>
    <row r="225" spans="1:2" x14ac:dyDescent="0.25">
      <c r="A225" s="8">
        <v>45077</v>
      </c>
      <c r="B225">
        <v>136.02000000000001</v>
      </c>
    </row>
    <row r="226" spans="1:2" x14ac:dyDescent="0.25">
      <c r="A226" s="8">
        <v>45107</v>
      </c>
      <c r="B226">
        <v>110.64</v>
      </c>
    </row>
    <row r="227" spans="1:2" x14ac:dyDescent="0.25">
      <c r="A227" s="8">
        <v>45138</v>
      </c>
      <c r="B227">
        <v>112.03</v>
      </c>
    </row>
    <row r="228" spans="1:2" x14ac:dyDescent="0.25">
      <c r="A228" s="8">
        <v>45169</v>
      </c>
      <c r="B228">
        <v>107.93</v>
      </c>
    </row>
    <row r="229" spans="1:2" x14ac:dyDescent="0.25">
      <c r="A229" s="8">
        <v>45199</v>
      </c>
      <c r="B229">
        <v>113.55</v>
      </c>
    </row>
    <row r="230" spans="1:2" x14ac:dyDescent="0.25">
      <c r="A230" s="8">
        <v>45230</v>
      </c>
      <c r="B230">
        <v>126.86</v>
      </c>
    </row>
    <row r="231" spans="1:2" x14ac:dyDescent="0.25">
      <c r="A231" s="8">
        <v>45260</v>
      </c>
      <c r="B231">
        <v>115.32</v>
      </c>
    </row>
    <row r="232" spans="1:2" x14ac:dyDescent="0.25">
      <c r="A232" s="8">
        <v>45291</v>
      </c>
      <c r="B232">
        <v>114.62</v>
      </c>
    </row>
    <row r="233" spans="1:2" x14ac:dyDescent="0.25">
      <c r="A233" s="8">
        <v>45322</v>
      </c>
      <c r="B233">
        <v>107.28</v>
      </c>
    </row>
    <row r="234" spans="1:2" x14ac:dyDescent="0.25">
      <c r="A234" s="8">
        <v>45351</v>
      </c>
      <c r="B234">
        <v>109.1</v>
      </c>
    </row>
    <row r="235" spans="1:2" x14ac:dyDescent="0.25">
      <c r="A235" s="8">
        <v>45382</v>
      </c>
      <c r="B235">
        <v>86.38</v>
      </c>
    </row>
    <row r="236" spans="1:2" x14ac:dyDescent="0.25">
      <c r="A236" s="8">
        <v>45412</v>
      </c>
      <c r="B236">
        <v>107.46</v>
      </c>
    </row>
    <row r="237" spans="1:2" x14ac:dyDescent="0.25">
      <c r="A237" s="8">
        <v>45443</v>
      </c>
      <c r="B237">
        <v>91.14</v>
      </c>
    </row>
    <row r="238" spans="1:2" x14ac:dyDescent="0.25">
      <c r="A238" s="8">
        <v>45473</v>
      </c>
      <c r="B238">
        <v>98.59</v>
      </c>
    </row>
    <row r="239" spans="1:2" x14ac:dyDescent="0.25">
      <c r="A239" s="8">
        <v>45504</v>
      </c>
      <c r="B239">
        <v>99.41</v>
      </c>
    </row>
    <row r="240" spans="1:2" x14ac:dyDescent="0.25">
      <c r="A240" s="8">
        <v>45535</v>
      </c>
      <c r="B240">
        <v>107.77</v>
      </c>
    </row>
    <row r="241" spans="1:2" x14ac:dyDescent="0.25">
      <c r="A241" s="8">
        <v>45565</v>
      </c>
      <c r="B241">
        <v>94.61</v>
      </c>
    </row>
    <row r="242" spans="1:2" x14ac:dyDescent="0.25">
      <c r="A242" s="8">
        <v>45596</v>
      </c>
      <c r="B242">
        <v>135.18</v>
      </c>
    </row>
    <row r="243" spans="1:2" x14ac:dyDescent="0.25">
      <c r="A243" s="8">
        <v>45626</v>
      </c>
      <c r="B243">
        <v>95.22</v>
      </c>
    </row>
    <row r="244" spans="1:2" x14ac:dyDescent="0.25">
      <c r="A244" s="8">
        <v>45657</v>
      </c>
      <c r="B244">
        <v>98.8</v>
      </c>
    </row>
    <row r="245" spans="1:2" x14ac:dyDescent="0.25">
      <c r="A245" s="8">
        <v>45688</v>
      </c>
      <c r="B245">
        <v>91.76</v>
      </c>
    </row>
    <row r="246" spans="1:2" x14ac:dyDescent="0.25">
      <c r="A246" s="8">
        <v>45716</v>
      </c>
      <c r="B246">
        <v>104.46</v>
      </c>
    </row>
    <row r="247" spans="1:2" x14ac:dyDescent="0.25">
      <c r="A247" s="8">
        <v>45747</v>
      </c>
      <c r="B247">
        <v>101.35</v>
      </c>
    </row>
    <row r="248" spans="1:2" x14ac:dyDescent="0.25">
      <c r="A248" s="8">
        <v>45777</v>
      </c>
      <c r="B248">
        <v>112.48</v>
      </c>
    </row>
    <row r="249" spans="1:2" x14ac:dyDescent="0.25">
      <c r="A249" s="8">
        <v>45808</v>
      </c>
      <c r="B249">
        <v>92.11</v>
      </c>
    </row>
    <row r="250" spans="1:2" x14ac:dyDescent="0.25">
      <c r="A250" s="8">
        <v>45838</v>
      </c>
      <c r="B250">
        <v>90.26</v>
      </c>
    </row>
    <row r="251" spans="1:2" x14ac:dyDescent="0.25">
      <c r="A251" s="8">
        <v>45869</v>
      </c>
      <c r="B251">
        <v>79.84</v>
      </c>
    </row>
    <row r="252" spans="1:2" x14ac:dyDescent="0.25">
      <c r="A252" s="8">
        <v>45900</v>
      </c>
      <c r="B252">
        <v>79.39</v>
      </c>
    </row>
    <row r="253" spans="1:2" x14ac:dyDescent="0.25">
      <c r="A253" s="8">
        <v>45930</v>
      </c>
      <c r="B253">
        <v>77.930000000000007</v>
      </c>
    </row>
    <row r="254" spans="1:2" x14ac:dyDescent="0.25">
      <c r="A254" s="8">
        <v>45961</v>
      </c>
      <c r="B254">
        <v>66.61</v>
      </c>
    </row>
    <row r="255" spans="1:2" x14ac:dyDescent="0.25">
      <c r="A255" s="8">
        <v>45991</v>
      </c>
      <c r="B255">
        <v>68.95</v>
      </c>
    </row>
    <row r="256" spans="1:2" x14ac:dyDescent="0.25">
      <c r="A256" s="8">
        <v>46022</v>
      </c>
      <c r="B256">
        <v>63.96</v>
      </c>
    </row>
    <row r="257" spans="1:4" x14ac:dyDescent="0.25">
      <c r="A257" s="8">
        <v>46053</v>
      </c>
      <c r="B257">
        <v>59.2</v>
      </c>
    </row>
    <row r="271" spans="1:4" x14ac:dyDescent="0.25">
      <c r="A271" s="6" t="s">
        <v>353</v>
      </c>
      <c r="B271" s="6" t="s">
        <v>354</v>
      </c>
      <c r="C271" s="6" t="s">
        <v>355</v>
      </c>
      <c r="D271" s="6" t="s">
        <v>54</v>
      </c>
    </row>
    <row r="272" spans="1:4" x14ac:dyDescent="0.25">
      <c r="A272" s="8">
        <f ca="1">_xll.BDH("VXEEM Index","PX_LAST","02/01/2016",TODAY(),"Per=M","cols=2;rows=121")</f>
        <v>42398</v>
      </c>
      <c r="B272">
        <v>28.41</v>
      </c>
    </row>
    <row r="273" spans="1:2" x14ac:dyDescent="0.25">
      <c r="A273" s="8">
        <v>42429</v>
      </c>
      <c r="B273">
        <v>28.76</v>
      </c>
    </row>
    <row r="274" spans="1:2" x14ac:dyDescent="0.25">
      <c r="A274" s="8">
        <v>42460</v>
      </c>
      <c r="B274">
        <v>22.73</v>
      </c>
    </row>
    <row r="275" spans="1:2" x14ac:dyDescent="0.25">
      <c r="A275" s="8">
        <v>42489</v>
      </c>
      <c r="B275">
        <v>22.87</v>
      </c>
    </row>
    <row r="276" spans="1:2" x14ac:dyDescent="0.25">
      <c r="A276" s="8">
        <v>42521</v>
      </c>
      <c r="B276">
        <v>22.45</v>
      </c>
    </row>
    <row r="277" spans="1:2" x14ac:dyDescent="0.25">
      <c r="A277" s="8">
        <v>42551</v>
      </c>
      <c r="B277">
        <v>23.69</v>
      </c>
    </row>
    <row r="278" spans="1:2" x14ac:dyDescent="0.25">
      <c r="A278" s="8">
        <v>42580</v>
      </c>
      <c r="B278">
        <v>19.190000000000001</v>
      </c>
    </row>
    <row r="279" spans="1:2" x14ac:dyDescent="0.25">
      <c r="A279" s="8">
        <v>42613</v>
      </c>
      <c r="B279">
        <v>21.55</v>
      </c>
    </row>
    <row r="280" spans="1:2" x14ac:dyDescent="0.25">
      <c r="A280" s="8">
        <v>42643</v>
      </c>
      <c r="B280">
        <v>22.12</v>
      </c>
    </row>
    <row r="281" spans="1:2" x14ac:dyDescent="0.25">
      <c r="A281" s="8">
        <v>42674</v>
      </c>
      <c r="B281">
        <v>24.04</v>
      </c>
    </row>
    <row r="282" spans="1:2" x14ac:dyDescent="0.25">
      <c r="A282" s="8">
        <v>42704</v>
      </c>
      <c r="B282">
        <v>21.35</v>
      </c>
    </row>
    <row r="283" spans="1:2" x14ac:dyDescent="0.25">
      <c r="A283" s="8">
        <v>42734</v>
      </c>
      <c r="B283">
        <v>22.33</v>
      </c>
    </row>
    <row r="284" spans="1:2" x14ac:dyDescent="0.25">
      <c r="A284" s="8">
        <v>42766</v>
      </c>
      <c r="B284">
        <v>18.62</v>
      </c>
    </row>
    <row r="285" spans="1:2" x14ac:dyDescent="0.25">
      <c r="A285" s="8">
        <v>42794</v>
      </c>
      <c r="B285">
        <v>18.670000000000002</v>
      </c>
    </row>
    <row r="286" spans="1:2" x14ac:dyDescent="0.25">
      <c r="A286" s="8">
        <v>42825</v>
      </c>
      <c r="B286">
        <v>15.99</v>
      </c>
    </row>
    <row r="287" spans="1:2" x14ac:dyDescent="0.25">
      <c r="A287" s="8">
        <v>42853</v>
      </c>
      <c r="B287">
        <v>14.76</v>
      </c>
    </row>
    <row r="288" spans="1:2" x14ac:dyDescent="0.25">
      <c r="A288" s="8">
        <v>42886</v>
      </c>
      <c r="B288">
        <v>17.059999999999999</v>
      </c>
    </row>
    <row r="289" spans="1:2" x14ac:dyDescent="0.25">
      <c r="A289" s="8">
        <v>42916</v>
      </c>
      <c r="B289">
        <v>15.97</v>
      </c>
    </row>
    <row r="290" spans="1:2" x14ac:dyDescent="0.25">
      <c r="A290" s="8">
        <v>42947</v>
      </c>
      <c r="B290">
        <v>14.52</v>
      </c>
    </row>
    <row r="291" spans="1:2" x14ac:dyDescent="0.25">
      <c r="A291" s="8">
        <v>42978</v>
      </c>
      <c r="B291">
        <v>16.52</v>
      </c>
    </row>
    <row r="292" spans="1:2" x14ac:dyDescent="0.25">
      <c r="A292" s="8">
        <v>43007</v>
      </c>
      <c r="B292">
        <v>16.03</v>
      </c>
    </row>
    <row r="293" spans="1:2" x14ac:dyDescent="0.25">
      <c r="A293" s="8">
        <v>43039</v>
      </c>
      <c r="B293">
        <v>17.07</v>
      </c>
    </row>
    <row r="294" spans="1:2" x14ac:dyDescent="0.25">
      <c r="A294" s="8">
        <v>43069</v>
      </c>
      <c r="B294">
        <v>18.920000000000002</v>
      </c>
    </row>
    <row r="295" spans="1:2" x14ac:dyDescent="0.25">
      <c r="A295" s="8">
        <v>43098</v>
      </c>
      <c r="B295">
        <v>16.25</v>
      </c>
    </row>
    <row r="296" spans="1:2" x14ac:dyDescent="0.25">
      <c r="A296" s="8">
        <v>43131</v>
      </c>
      <c r="B296">
        <v>20.66</v>
      </c>
    </row>
    <row r="297" spans="1:2" x14ac:dyDescent="0.25">
      <c r="A297" s="8">
        <v>43159</v>
      </c>
      <c r="B297">
        <v>25.81</v>
      </c>
    </row>
    <row r="298" spans="1:2" x14ac:dyDescent="0.25">
      <c r="A298" s="8">
        <v>43189</v>
      </c>
      <c r="B298">
        <v>26.26</v>
      </c>
    </row>
    <row r="299" spans="1:2" x14ac:dyDescent="0.25">
      <c r="A299" s="8">
        <v>43220</v>
      </c>
      <c r="B299">
        <v>18.91</v>
      </c>
    </row>
    <row r="300" spans="1:2" x14ac:dyDescent="0.25">
      <c r="A300" s="8">
        <v>43251</v>
      </c>
      <c r="B300">
        <v>19.329999999999998</v>
      </c>
    </row>
    <row r="301" spans="1:2" x14ac:dyDescent="0.25">
      <c r="A301" s="8">
        <v>43280</v>
      </c>
      <c r="B301">
        <v>20.77</v>
      </c>
    </row>
    <row r="302" spans="1:2" x14ac:dyDescent="0.25">
      <c r="A302" s="8">
        <v>43312</v>
      </c>
      <c r="B302">
        <v>17.8</v>
      </c>
    </row>
    <row r="303" spans="1:2" x14ac:dyDescent="0.25">
      <c r="A303" s="8">
        <v>43343</v>
      </c>
      <c r="B303">
        <v>20.260000000000002</v>
      </c>
    </row>
    <row r="304" spans="1:2" x14ac:dyDescent="0.25">
      <c r="A304" s="8">
        <v>43371</v>
      </c>
      <c r="B304">
        <v>19.649999999999999</v>
      </c>
    </row>
    <row r="305" spans="1:2" x14ac:dyDescent="0.25">
      <c r="A305" s="8">
        <v>43404</v>
      </c>
      <c r="B305">
        <v>27.92</v>
      </c>
    </row>
    <row r="306" spans="1:2" x14ac:dyDescent="0.25">
      <c r="A306" s="8">
        <v>43434</v>
      </c>
      <c r="B306">
        <v>26.11</v>
      </c>
    </row>
    <row r="307" spans="1:2" x14ac:dyDescent="0.25">
      <c r="A307" s="8">
        <v>43465</v>
      </c>
      <c r="B307">
        <v>24.91</v>
      </c>
    </row>
    <row r="308" spans="1:2" x14ac:dyDescent="0.25">
      <c r="A308" s="8">
        <v>43496</v>
      </c>
      <c r="B308">
        <v>20.149999999999999</v>
      </c>
    </row>
    <row r="309" spans="1:2" x14ac:dyDescent="0.25">
      <c r="A309" s="8">
        <v>43524</v>
      </c>
      <c r="B309">
        <v>18.66</v>
      </c>
    </row>
    <row r="310" spans="1:2" x14ac:dyDescent="0.25">
      <c r="A310" s="8">
        <v>43553</v>
      </c>
      <c r="B310">
        <v>18.09</v>
      </c>
    </row>
    <row r="311" spans="1:2" x14ac:dyDescent="0.25">
      <c r="A311" s="8">
        <v>43585</v>
      </c>
      <c r="B311">
        <v>16</v>
      </c>
    </row>
    <row r="312" spans="1:2" x14ac:dyDescent="0.25">
      <c r="A312" s="8">
        <v>43616</v>
      </c>
      <c r="B312">
        <v>21.17</v>
      </c>
    </row>
    <row r="313" spans="1:2" x14ac:dyDescent="0.25">
      <c r="A313" s="8">
        <v>43644</v>
      </c>
      <c r="B313">
        <v>19.73</v>
      </c>
    </row>
    <row r="314" spans="1:2" x14ac:dyDescent="0.25">
      <c r="A314" s="8">
        <v>43677</v>
      </c>
      <c r="B314">
        <v>17.48</v>
      </c>
    </row>
    <row r="315" spans="1:2" x14ac:dyDescent="0.25">
      <c r="A315" s="8">
        <v>43707</v>
      </c>
      <c r="B315">
        <v>19.72</v>
      </c>
    </row>
    <row r="316" spans="1:2" x14ac:dyDescent="0.25">
      <c r="A316" s="8">
        <v>43738</v>
      </c>
      <c r="B316">
        <v>19.2</v>
      </c>
    </row>
    <row r="317" spans="1:2" x14ac:dyDescent="0.25">
      <c r="A317" s="8">
        <v>43769</v>
      </c>
      <c r="B317">
        <v>17.52</v>
      </c>
    </row>
    <row r="318" spans="1:2" x14ac:dyDescent="0.25">
      <c r="A318" s="8">
        <v>43798</v>
      </c>
      <c r="B318">
        <v>18.02</v>
      </c>
    </row>
    <row r="319" spans="1:2" x14ac:dyDescent="0.25">
      <c r="A319" s="8">
        <v>43830</v>
      </c>
      <c r="B319">
        <v>17.27</v>
      </c>
    </row>
    <row r="320" spans="1:2" x14ac:dyDescent="0.25">
      <c r="A320" s="8">
        <v>43861</v>
      </c>
      <c r="B320">
        <v>22.99</v>
      </c>
    </row>
    <row r="321" spans="1:2" x14ac:dyDescent="0.25">
      <c r="A321" s="8">
        <v>43889</v>
      </c>
      <c r="B321">
        <v>43.16</v>
      </c>
    </row>
    <row r="322" spans="1:2" x14ac:dyDescent="0.25">
      <c r="A322" s="8">
        <v>43921</v>
      </c>
      <c r="B322">
        <v>51.75</v>
      </c>
    </row>
    <row r="323" spans="1:2" x14ac:dyDescent="0.25">
      <c r="A323" s="8">
        <v>43951</v>
      </c>
      <c r="B323">
        <v>35.99</v>
      </c>
    </row>
    <row r="324" spans="1:2" x14ac:dyDescent="0.25">
      <c r="A324" s="8">
        <v>43980</v>
      </c>
      <c r="B324">
        <v>29.79</v>
      </c>
    </row>
    <row r="325" spans="1:2" x14ac:dyDescent="0.25">
      <c r="A325" s="8">
        <v>44012</v>
      </c>
      <c r="B325">
        <v>27.99</v>
      </c>
    </row>
    <row r="326" spans="1:2" x14ac:dyDescent="0.25">
      <c r="A326" s="8">
        <v>44043</v>
      </c>
      <c r="B326">
        <v>23.14</v>
      </c>
    </row>
    <row r="327" spans="1:2" x14ac:dyDescent="0.25">
      <c r="A327" s="8">
        <v>44074</v>
      </c>
      <c r="B327">
        <v>26.49</v>
      </c>
    </row>
    <row r="328" spans="1:2" x14ac:dyDescent="0.25">
      <c r="A328" s="8">
        <v>44104</v>
      </c>
      <c r="B328">
        <v>27.05</v>
      </c>
    </row>
    <row r="329" spans="1:2" x14ac:dyDescent="0.25">
      <c r="A329" s="8">
        <v>44134</v>
      </c>
      <c r="B329">
        <v>32.19</v>
      </c>
    </row>
    <row r="330" spans="1:2" x14ac:dyDescent="0.25">
      <c r="A330" s="8">
        <v>44165</v>
      </c>
      <c r="B330">
        <v>25.27</v>
      </c>
    </row>
    <row r="331" spans="1:2" x14ac:dyDescent="0.25">
      <c r="A331" s="8">
        <v>44196</v>
      </c>
      <c r="B331">
        <v>24.74</v>
      </c>
    </row>
    <row r="332" spans="1:2" x14ac:dyDescent="0.25">
      <c r="A332" s="8">
        <v>44225</v>
      </c>
      <c r="B332">
        <v>29.8</v>
      </c>
    </row>
    <row r="333" spans="1:2" x14ac:dyDescent="0.25">
      <c r="A333" s="8">
        <v>44253</v>
      </c>
      <c r="B333">
        <v>29.55</v>
      </c>
    </row>
    <row r="334" spans="1:2" x14ac:dyDescent="0.25">
      <c r="A334" s="8">
        <v>44286</v>
      </c>
      <c r="B334">
        <v>22.66</v>
      </c>
    </row>
    <row r="335" spans="1:2" x14ac:dyDescent="0.25">
      <c r="A335" s="8">
        <v>44316</v>
      </c>
      <c r="B335">
        <v>20.62</v>
      </c>
    </row>
    <row r="336" spans="1:2" x14ac:dyDescent="0.25">
      <c r="A336" s="8">
        <v>44347</v>
      </c>
      <c r="B336">
        <v>18.600000000000001</v>
      </c>
    </row>
    <row r="337" spans="1:2" x14ac:dyDescent="0.25">
      <c r="A337" s="8">
        <v>44377</v>
      </c>
      <c r="B337">
        <v>18.82</v>
      </c>
    </row>
    <row r="338" spans="1:2" x14ac:dyDescent="0.25">
      <c r="A338" s="8">
        <v>44407</v>
      </c>
      <c r="B338">
        <v>25.96</v>
      </c>
    </row>
    <row r="339" spans="1:2" x14ac:dyDescent="0.25">
      <c r="A339" s="8">
        <v>44439</v>
      </c>
      <c r="B339">
        <v>19.61</v>
      </c>
    </row>
    <row r="340" spans="1:2" x14ac:dyDescent="0.25">
      <c r="A340" s="8">
        <v>44469</v>
      </c>
      <c r="B340">
        <v>28.89</v>
      </c>
    </row>
    <row r="341" spans="1:2" x14ac:dyDescent="0.25">
      <c r="A341" s="8">
        <v>44498</v>
      </c>
      <c r="B341">
        <v>20.190000000000001</v>
      </c>
    </row>
    <row r="342" spans="1:2" x14ac:dyDescent="0.25">
      <c r="A342" s="8">
        <v>44530</v>
      </c>
      <c r="B342">
        <v>28.82</v>
      </c>
    </row>
    <row r="343" spans="1:2" x14ac:dyDescent="0.25">
      <c r="A343" s="8">
        <v>44561</v>
      </c>
      <c r="B343">
        <v>19.32</v>
      </c>
    </row>
    <row r="344" spans="1:2" x14ac:dyDescent="0.25">
      <c r="A344" s="8">
        <v>44592</v>
      </c>
      <c r="B344">
        <v>22.41</v>
      </c>
    </row>
    <row r="345" spans="1:2" x14ac:dyDescent="0.25">
      <c r="A345" s="8">
        <v>44620</v>
      </c>
      <c r="B345">
        <v>33.44</v>
      </c>
    </row>
    <row r="346" spans="1:2" x14ac:dyDescent="0.25">
      <c r="A346" s="8">
        <v>44651</v>
      </c>
      <c r="B346">
        <v>24.5</v>
      </c>
    </row>
    <row r="347" spans="1:2" x14ac:dyDescent="0.25">
      <c r="A347" s="8">
        <v>44680</v>
      </c>
      <c r="B347">
        <v>30.76</v>
      </c>
    </row>
    <row r="348" spans="1:2" x14ac:dyDescent="0.25">
      <c r="A348" s="8">
        <v>44712</v>
      </c>
      <c r="B348">
        <v>24.65</v>
      </c>
    </row>
    <row r="349" spans="1:2" x14ac:dyDescent="0.25">
      <c r="A349" s="8">
        <v>44742</v>
      </c>
      <c r="B349">
        <v>25.77</v>
      </c>
    </row>
    <row r="350" spans="1:2" x14ac:dyDescent="0.25">
      <c r="A350" s="8">
        <v>44771</v>
      </c>
      <c r="B350">
        <v>21.73</v>
      </c>
    </row>
    <row r="351" spans="1:2" x14ac:dyDescent="0.25">
      <c r="A351" s="8">
        <v>44804</v>
      </c>
      <c r="B351">
        <v>22.68</v>
      </c>
    </row>
    <row r="352" spans="1:2" x14ac:dyDescent="0.25">
      <c r="A352" s="8">
        <v>44834</v>
      </c>
      <c r="B352">
        <v>28.99</v>
      </c>
    </row>
    <row r="353" spans="1:2" x14ac:dyDescent="0.25">
      <c r="A353" s="8">
        <v>44865</v>
      </c>
      <c r="B353">
        <v>28.67</v>
      </c>
    </row>
    <row r="354" spans="1:2" x14ac:dyDescent="0.25">
      <c r="A354" s="8">
        <v>44895</v>
      </c>
      <c r="B354">
        <v>24.34</v>
      </c>
    </row>
    <row r="355" spans="1:2" x14ac:dyDescent="0.25">
      <c r="A355" s="8">
        <v>44925</v>
      </c>
      <c r="B355">
        <v>24.21</v>
      </c>
    </row>
    <row r="356" spans="1:2" x14ac:dyDescent="0.25">
      <c r="A356" s="8">
        <v>44957</v>
      </c>
      <c r="B356">
        <v>21.11</v>
      </c>
    </row>
    <row r="357" spans="1:2" x14ac:dyDescent="0.25">
      <c r="A357" s="8">
        <v>44985</v>
      </c>
      <c r="B357">
        <v>20.18</v>
      </c>
    </row>
    <row r="358" spans="1:2" x14ac:dyDescent="0.25">
      <c r="A358" s="8">
        <v>45016</v>
      </c>
      <c r="B358">
        <v>18.62</v>
      </c>
    </row>
    <row r="359" spans="1:2" x14ac:dyDescent="0.25">
      <c r="A359" s="8">
        <v>45044</v>
      </c>
      <c r="B359">
        <v>16.8</v>
      </c>
    </row>
    <row r="360" spans="1:2" x14ac:dyDescent="0.25">
      <c r="A360" s="8">
        <v>45077</v>
      </c>
      <c r="B360">
        <v>19.329999999999998</v>
      </c>
    </row>
    <row r="361" spans="1:2" x14ac:dyDescent="0.25">
      <c r="A361" s="8">
        <v>45107</v>
      </c>
      <c r="B361">
        <v>15.48</v>
      </c>
    </row>
    <row r="362" spans="1:2" x14ac:dyDescent="0.25">
      <c r="A362" s="8">
        <v>45138</v>
      </c>
      <c r="B362">
        <v>18.32</v>
      </c>
    </row>
    <row r="363" spans="1:2" x14ac:dyDescent="0.25">
      <c r="A363" s="8">
        <v>45169</v>
      </c>
      <c r="B363">
        <v>16.989999999999998</v>
      </c>
    </row>
    <row r="364" spans="1:2" x14ac:dyDescent="0.25">
      <c r="A364" s="8">
        <v>45198</v>
      </c>
      <c r="B364">
        <v>18.739999999999998</v>
      </c>
    </row>
    <row r="365" spans="1:2" x14ac:dyDescent="0.25">
      <c r="A365" s="8">
        <v>45230</v>
      </c>
      <c r="B365">
        <v>19.809999999999999</v>
      </c>
    </row>
    <row r="366" spans="1:2" x14ac:dyDescent="0.25">
      <c r="A366" s="8">
        <v>45260</v>
      </c>
      <c r="B366">
        <v>19.25</v>
      </c>
    </row>
    <row r="367" spans="1:2" x14ac:dyDescent="0.25">
      <c r="A367" s="8">
        <v>45289</v>
      </c>
      <c r="B367">
        <v>21.14</v>
      </c>
    </row>
    <row r="368" spans="1:2" x14ac:dyDescent="0.25">
      <c r="A368" s="8">
        <v>45322</v>
      </c>
      <c r="B368">
        <v>16.95</v>
      </c>
    </row>
    <row r="369" spans="1:2" x14ac:dyDescent="0.25">
      <c r="A369" s="8">
        <v>45351</v>
      </c>
      <c r="B369">
        <v>15.14</v>
      </c>
    </row>
    <row r="370" spans="1:2" x14ac:dyDescent="0.25">
      <c r="A370" s="8">
        <v>45380</v>
      </c>
      <c r="B370">
        <v>13.46</v>
      </c>
    </row>
    <row r="371" spans="1:2" x14ac:dyDescent="0.25">
      <c r="A371" s="8">
        <v>45412</v>
      </c>
      <c r="B371">
        <v>16.11</v>
      </c>
    </row>
    <row r="372" spans="1:2" x14ac:dyDescent="0.25">
      <c r="A372" s="8">
        <v>45443</v>
      </c>
      <c r="B372">
        <v>16.97</v>
      </c>
    </row>
    <row r="373" spans="1:2" x14ac:dyDescent="0.25">
      <c r="A373" s="8">
        <v>45471</v>
      </c>
      <c r="B373">
        <v>15.65</v>
      </c>
    </row>
    <row r="374" spans="1:2" x14ac:dyDescent="0.25">
      <c r="A374" s="8">
        <v>45504</v>
      </c>
      <c r="B374">
        <v>17.079999999999998</v>
      </c>
    </row>
    <row r="375" spans="1:2" x14ac:dyDescent="0.25">
      <c r="A375" s="8">
        <v>45534</v>
      </c>
      <c r="B375">
        <v>17.440000000000001</v>
      </c>
    </row>
    <row r="376" spans="1:2" x14ac:dyDescent="0.25">
      <c r="A376" s="8">
        <v>45565</v>
      </c>
      <c r="B376">
        <v>22.38</v>
      </c>
    </row>
    <row r="377" spans="1:2" x14ac:dyDescent="0.25">
      <c r="A377" s="8">
        <v>45596</v>
      </c>
      <c r="B377">
        <v>26.41</v>
      </c>
    </row>
    <row r="378" spans="1:2" x14ac:dyDescent="0.25">
      <c r="A378" s="8">
        <v>45625</v>
      </c>
      <c r="B378">
        <v>16.940000000000001</v>
      </c>
    </row>
    <row r="379" spans="1:2" x14ac:dyDescent="0.25">
      <c r="A379" s="8">
        <v>45657</v>
      </c>
      <c r="B379">
        <v>17.57</v>
      </c>
    </row>
    <row r="380" spans="1:2" x14ac:dyDescent="0.25">
      <c r="A380" s="8">
        <v>45688</v>
      </c>
      <c r="B380">
        <v>18.14</v>
      </c>
    </row>
    <row r="381" spans="1:2" x14ac:dyDescent="0.25">
      <c r="A381" s="8">
        <v>45716</v>
      </c>
      <c r="B381">
        <v>20.46</v>
      </c>
    </row>
    <row r="382" spans="1:2" x14ac:dyDescent="0.25">
      <c r="A382" s="8">
        <v>45747</v>
      </c>
      <c r="B382">
        <v>19.3</v>
      </c>
    </row>
    <row r="383" spans="1:2" x14ac:dyDescent="0.25">
      <c r="A383" s="8">
        <v>45777</v>
      </c>
      <c r="B383">
        <v>20.72</v>
      </c>
    </row>
    <row r="384" spans="1:2" x14ac:dyDescent="0.25">
      <c r="A384" s="8">
        <v>45807</v>
      </c>
      <c r="B384">
        <v>17.510000000000002</v>
      </c>
    </row>
    <row r="385" spans="1:2" x14ac:dyDescent="0.25">
      <c r="A385" s="8">
        <v>45838</v>
      </c>
      <c r="B385">
        <v>14.77</v>
      </c>
    </row>
    <row r="386" spans="1:2" x14ac:dyDescent="0.25">
      <c r="A386" s="8">
        <v>45869</v>
      </c>
      <c r="B386">
        <v>17.920000000000002</v>
      </c>
    </row>
    <row r="387" spans="1:2" x14ac:dyDescent="0.25">
      <c r="A387" s="8">
        <v>45898</v>
      </c>
      <c r="B387">
        <v>15.89</v>
      </c>
    </row>
    <row r="388" spans="1:2" x14ac:dyDescent="0.25">
      <c r="A388" s="8">
        <v>45930</v>
      </c>
      <c r="B388">
        <v>17.21</v>
      </c>
    </row>
    <row r="389" spans="1:2" x14ac:dyDescent="0.25">
      <c r="A389" s="8">
        <v>45961</v>
      </c>
      <c r="B389">
        <v>19.690000000000001</v>
      </c>
    </row>
    <row r="390" spans="1:2" x14ac:dyDescent="0.25">
      <c r="A390" s="8">
        <v>45989</v>
      </c>
      <c r="B390">
        <v>18.38</v>
      </c>
    </row>
    <row r="391" spans="1:2" x14ac:dyDescent="0.25">
      <c r="A391" s="8">
        <v>46022</v>
      </c>
      <c r="B391">
        <v>17.3</v>
      </c>
    </row>
    <row r="392" spans="1:2" x14ac:dyDescent="0.25">
      <c r="A392" s="8">
        <v>46052</v>
      </c>
      <c r="B392">
        <v>21.64</v>
      </c>
    </row>
    <row r="406" spans="1:4" x14ac:dyDescent="0.25">
      <c r="A406" s="6" t="s">
        <v>356</v>
      </c>
      <c r="B406" s="6" t="s">
        <v>357</v>
      </c>
      <c r="C406" s="6" t="s">
        <v>358</v>
      </c>
      <c r="D406" s="6" t="s">
        <v>54</v>
      </c>
    </row>
    <row r="407" spans="1:4" x14ac:dyDescent="0.25">
      <c r="A407" s="8">
        <f ca="1">_xll.BDH("SKEW Index","PX_LAST","02/01/2016",TODAY(),"Per=M","cols=2;rows=121")</f>
        <v>42398</v>
      </c>
      <c r="B407">
        <v>120.86</v>
      </c>
    </row>
    <row r="408" spans="1:4" x14ac:dyDescent="0.25">
      <c r="A408" s="8">
        <v>42429</v>
      </c>
      <c r="B408">
        <v>117.68</v>
      </c>
    </row>
    <row r="409" spans="1:4" x14ac:dyDescent="0.25">
      <c r="A409" s="8">
        <v>42460</v>
      </c>
      <c r="B409">
        <v>122.03</v>
      </c>
    </row>
    <row r="410" spans="1:4" x14ac:dyDescent="0.25">
      <c r="A410" s="8">
        <v>42489</v>
      </c>
      <c r="B410">
        <v>126.49</v>
      </c>
    </row>
    <row r="411" spans="1:4" x14ac:dyDescent="0.25">
      <c r="A411" s="8">
        <v>42521</v>
      </c>
      <c r="B411">
        <v>127.7</v>
      </c>
    </row>
    <row r="412" spans="1:4" x14ac:dyDescent="0.25">
      <c r="A412" s="8">
        <v>42551</v>
      </c>
      <c r="B412">
        <v>140.58000000000001</v>
      </c>
    </row>
    <row r="413" spans="1:4" x14ac:dyDescent="0.25">
      <c r="A413" s="8">
        <v>42580</v>
      </c>
      <c r="B413">
        <v>128.25</v>
      </c>
    </row>
    <row r="414" spans="1:4" x14ac:dyDescent="0.25">
      <c r="A414" s="8">
        <v>42613</v>
      </c>
      <c r="B414">
        <v>129.25</v>
      </c>
    </row>
    <row r="415" spans="1:4" x14ac:dyDescent="0.25">
      <c r="A415" s="8">
        <v>42643</v>
      </c>
      <c r="B415">
        <v>124.58</v>
      </c>
    </row>
    <row r="416" spans="1:4" x14ac:dyDescent="0.25">
      <c r="A416" s="8">
        <v>42674</v>
      </c>
      <c r="B416">
        <v>126.12</v>
      </c>
    </row>
    <row r="417" spans="1:2" x14ac:dyDescent="0.25">
      <c r="A417" s="8">
        <v>42704</v>
      </c>
      <c r="B417">
        <v>126.39</v>
      </c>
    </row>
    <row r="418" spans="1:2" x14ac:dyDescent="0.25">
      <c r="A418" s="8">
        <v>42734</v>
      </c>
      <c r="B418">
        <v>127.26</v>
      </c>
    </row>
    <row r="419" spans="1:2" x14ac:dyDescent="0.25">
      <c r="A419" s="8">
        <v>42766</v>
      </c>
      <c r="B419">
        <v>138.08000000000001</v>
      </c>
    </row>
    <row r="420" spans="1:2" x14ac:dyDescent="0.25">
      <c r="A420" s="8">
        <v>42794</v>
      </c>
      <c r="B420">
        <v>131.97999999999999</v>
      </c>
    </row>
    <row r="421" spans="1:2" x14ac:dyDescent="0.25">
      <c r="A421" s="8">
        <v>42825</v>
      </c>
      <c r="B421">
        <v>138.31</v>
      </c>
    </row>
    <row r="422" spans="1:2" x14ac:dyDescent="0.25">
      <c r="A422" s="8">
        <v>42853</v>
      </c>
      <c r="B422">
        <v>146.97999999999999</v>
      </c>
    </row>
    <row r="423" spans="1:2" x14ac:dyDescent="0.25">
      <c r="A423" s="8">
        <v>42886</v>
      </c>
      <c r="B423">
        <v>125.11</v>
      </c>
    </row>
    <row r="424" spans="1:2" x14ac:dyDescent="0.25">
      <c r="A424" s="8">
        <v>42916</v>
      </c>
      <c r="B424">
        <v>129.51</v>
      </c>
    </row>
    <row r="425" spans="1:2" x14ac:dyDescent="0.25">
      <c r="A425" s="8">
        <v>42947</v>
      </c>
      <c r="B425">
        <v>139.82</v>
      </c>
    </row>
    <row r="426" spans="1:2" x14ac:dyDescent="0.25">
      <c r="A426" s="8">
        <v>42978</v>
      </c>
      <c r="B426">
        <v>134</v>
      </c>
    </row>
    <row r="427" spans="1:2" x14ac:dyDescent="0.25">
      <c r="A427" s="8">
        <v>43007</v>
      </c>
      <c r="B427">
        <v>137.75</v>
      </c>
    </row>
    <row r="428" spans="1:2" x14ac:dyDescent="0.25">
      <c r="A428" s="8">
        <v>43039</v>
      </c>
      <c r="B428">
        <v>131.81</v>
      </c>
    </row>
    <row r="429" spans="1:2" x14ac:dyDescent="0.25">
      <c r="A429" s="8">
        <v>43069</v>
      </c>
      <c r="B429">
        <v>128.9</v>
      </c>
    </row>
    <row r="430" spans="1:2" x14ac:dyDescent="0.25">
      <c r="A430" s="8">
        <v>43098</v>
      </c>
      <c r="B430">
        <v>137.05000000000001</v>
      </c>
    </row>
    <row r="431" spans="1:2" x14ac:dyDescent="0.25">
      <c r="A431" s="8">
        <v>43131</v>
      </c>
      <c r="B431">
        <v>121.23</v>
      </c>
    </row>
    <row r="432" spans="1:2" x14ac:dyDescent="0.25">
      <c r="A432" s="8">
        <v>43159</v>
      </c>
      <c r="B432">
        <v>138.94999999999999</v>
      </c>
    </row>
    <row r="433" spans="1:2" x14ac:dyDescent="0.25">
      <c r="A433" s="8">
        <v>43189</v>
      </c>
      <c r="B433">
        <v>119.34</v>
      </c>
    </row>
    <row r="434" spans="1:2" x14ac:dyDescent="0.25">
      <c r="A434" s="8">
        <v>43220</v>
      </c>
      <c r="B434">
        <v>130.77000000000001</v>
      </c>
    </row>
    <row r="435" spans="1:2" x14ac:dyDescent="0.25">
      <c r="A435" s="8">
        <v>43251</v>
      </c>
      <c r="B435">
        <v>140.07</v>
      </c>
    </row>
    <row r="436" spans="1:2" x14ac:dyDescent="0.25">
      <c r="A436" s="8">
        <v>43280</v>
      </c>
      <c r="B436">
        <v>141.72</v>
      </c>
    </row>
    <row r="437" spans="1:2" x14ac:dyDescent="0.25">
      <c r="A437" s="8">
        <v>43312</v>
      </c>
      <c r="B437">
        <v>144.49</v>
      </c>
    </row>
    <row r="438" spans="1:2" x14ac:dyDescent="0.25">
      <c r="A438" s="8">
        <v>43343</v>
      </c>
      <c r="B438">
        <v>146.91</v>
      </c>
    </row>
    <row r="439" spans="1:2" x14ac:dyDescent="0.25">
      <c r="A439" s="8">
        <v>43371</v>
      </c>
      <c r="B439">
        <v>144.43</v>
      </c>
    </row>
    <row r="440" spans="1:2" x14ac:dyDescent="0.25">
      <c r="A440" s="8">
        <v>43404</v>
      </c>
      <c r="B440">
        <v>117.64</v>
      </c>
    </row>
    <row r="441" spans="1:2" x14ac:dyDescent="0.25">
      <c r="A441" s="8">
        <v>43434</v>
      </c>
      <c r="B441">
        <v>114.71</v>
      </c>
    </row>
    <row r="442" spans="1:2" x14ac:dyDescent="0.25">
      <c r="A442" s="8">
        <v>43465</v>
      </c>
      <c r="B442">
        <v>117.8</v>
      </c>
    </row>
    <row r="443" spans="1:2" x14ac:dyDescent="0.25">
      <c r="A443" s="8">
        <v>43496</v>
      </c>
      <c r="B443">
        <v>126.53</v>
      </c>
    </row>
    <row r="444" spans="1:2" x14ac:dyDescent="0.25">
      <c r="A444" s="8">
        <v>43524</v>
      </c>
      <c r="B444">
        <v>128.85</v>
      </c>
    </row>
    <row r="445" spans="1:2" x14ac:dyDescent="0.25">
      <c r="A445" s="8">
        <v>43553</v>
      </c>
      <c r="B445">
        <v>120.96</v>
      </c>
    </row>
    <row r="446" spans="1:2" x14ac:dyDescent="0.25">
      <c r="A446" s="8">
        <v>43585</v>
      </c>
      <c r="B446">
        <v>126.47</v>
      </c>
    </row>
    <row r="447" spans="1:2" x14ac:dyDescent="0.25">
      <c r="A447" s="8">
        <v>43616</v>
      </c>
      <c r="B447">
        <v>112.65</v>
      </c>
    </row>
    <row r="448" spans="1:2" x14ac:dyDescent="0.25">
      <c r="A448" s="8">
        <v>43644</v>
      </c>
      <c r="B448">
        <v>118.12</v>
      </c>
    </row>
    <row r="449" spans="1:2" x14ac:dyDescent="0.25">
      <c r="A449" s="8">
        <v>43677</v>
      </c>
      <c r="B449">
        <v>121.71</v>
      </c>
    </row>
    <row r="450" spans="1:2" x14ac:dyDescent="0.25">
      <c r="A450" s="8">
        <v>43707</v>
      </c>
      <c r="B450">
        <v>115.37</v>
      </c>
    </row>
    <row r="451" spans="1:2" x14ac:dyDescent="0.25">
      <c r="A451" s="8">
        <v>43738</v>
      </c>
      <c r="B451">
        <v>117.67</v>
      </c>
    </row>
    <row r="452" spans="1:2" x14ac:dyDescent="0.25">
      <c r="A452" s="8">
        <v>43769</v>
      </c>
      <c r="B452">
        <v>130.71</v>
      </c>
    </row>
    <row r="453" spans="1:2" x14ac:dyDescent="0.25">
      <c r="A453" s="8">
        <v>43798</v>
      </c>
      <c r="B453">
        <v>129.83000000000001</v>
      </c>
    </row>
    <row r="454" spans="1:2" x14ac:dyDescent="0.25">
      <c r="A454" s="8">
        <v>43830</v>
      </c>
      <c r="B454">
        <v>139.52000000000001</v>
      </c>
    </row>
    <row r="455" spans="1:2" x14ac:dyDescent="0.25">
      <c r="A455" s="8">
        <v>43861</v>
      </c>
      <c r="B455">
        <v>135.72999999999999</v>
      </c>
    </row>
    <row r="456" spans="1:2" x14ac:dyDescent="0.25">
      <c r="A456" s="8">
        <v>43889</v>
      </c>
      <c r="B456">
        <v>115.74</v>
      </c>
    </row>
    <row r="457" spans="1:2" x14ac:dyDescent="0.25">
      <c r="A457" s="8">
        <v>43921</v>
      </c>
      <c r="B457">
        <v>125.49</v>
      </c>
    </row>
    <row r="458" spans="1:2" x14ac:dyDescent="0.25">
      <c r="A458" s="8">
        <v>43951</v>
      </c>
      <c r="B458">
        <v>130.38</v>
      </c>
    </row>
    <row r="459" spans="1:2" x14ac:dyDescent="0.25">
      <c r="A459" s="8">
        <v>43980</v>
      </c>
      <c r="B459">
        <v>131.72</v>
      </c>
    </row>
    <row r="460" spans="1:2" x14ac:dyDescent="0.25">
      <c r="A460" s="8">
        <v>44012</v>
      </c>
      <c r="B460">
        <v>148.27000000000001</v>
      </c>
    </row>
    <row r="461" spans="1:2" x14ac:dyDescent="0.25">
      <c r="A461" s="8">
        <v>44043</v>
      </c>
      <c r="B461">
        <v>141.56</v>
      </c>
    </row>
    <row r="462" spans="1:2" x14ac:dyDescent="0.25">
      <c r="A462" s="8">
        <v>44074</v>
      </c>
      <c r="B462">
        <v>144.66999999999999</v>
      </c>
    </row>
    <row r="463" spans="1:2" x14ac:dyDescent="0.25">
      <c r="A463" s="8">
        <v>44104</v>
      </c>
      <c r="B463">
        <v>120.94</v>
      </c>
    </row>
    <row r="464" spans="1:2" x14ac:dyDescent="0.25">
      <c r="A464" s="8">
        <v>44134</v>
      </c>
      <c r="B464">
        <v>129.01</v>
      </c>
    </row>
    <row r="465" spans="1:2" x14ac:dyDescent="0.25">
      <c r="A465" s="8">
        <v>44165</v>
      </c>
      <c r="B465">
        <v>133.94999999999999</v>
      </c>
    </row>
    <row r="466" spans="1:2" x14ac:dyDescent="0.25">
      <c r="A466" s="8">
        <v>44196</v>
      </c>
      <c r="B466">
        <v>147.83000000000001</v>
      </c>
    </row>
    <row r="467" spans="1:2" x14ac:dyDescent="0.25">
      <c r="A467" s="8">
        <v>44225</v>
      </c>
      <c r="B467">
        <v>134.30000000000001</v>
      </c>
    </row>
    <row r="468" spans="1:2" x14ac:dyDescent="0.25">
      <c r="A468" s="8">
        <v>44253</v>
      </c>
      <c r="B468">
        <v>136.22999999999999</v>
      </c>
    </row>
    <row r="469" spans="1:2" x14ac:dyDescent="0.25">
      <c r="A469" s="8">
        <v>44286</v>
      </c>
      <c r="B469">
        <v>140.93</v>
      </c>
    </row>
    <row r="470" spans="1:2" x14ac:dyDescent="0.25">
      <c r="A470" s="8">
        <v>44316</v>
      </c>
      <c r="B470">
        <v>146.32</v>
      </c>
    </row>
    <row r="471" spans="1:2" x14ac:dyDescent="0.25">
      <c r="A471" s="8">
        <v>44347</v>
      </c>
      <c r="B471">
        <v>155.31</v>
      </c>
    </row>
    <row r="472" spans="1:2" x14ac:dyDescent="0.25">
      <c r="A472" s="8">
        <v>44377</v>
      </c>
      <c r="B472">
        <v>161.85</v>
      </c>
    </row>
    <row r="473" spans="1:2" x14ac:dyDescent="0.25">
      <c r="A473" s="8">
        <v>44407</v>
      </c>
      <c r="B473">
        <v>153.71</v>
      </c>
    </row>
    <row r="474" spans="1:2" x14ac:dyDescent="0.25">
      <c r="A474" s="8">
        <v>44439</v>
      </c>
      <c r="B474">
        <v>155.91</v>
      </c>
    </row>
    <row r="475" spans="1:2" x14ac:dyDescent="0.25">
      <c r="A475" s="8">
        <v>44469</v>
      </c>
      <c r="B475">
        <v>135.55000000000001</v>
      </c>
    </row>
    <row r="476" spans="1:2" x14ac:dyDescent="0.25">
      <c r="A476" s="8">
        <v>44498</v>
      </c>
      <c r="B476">
        <v>148.09</v>
      </c>
    </row>
    <row r="477" spans="1:2" x14ac:dyDescent="0.25">
      <c r="A477" s="8">
        <v>44530</v>
      </c>
      <c r="B477">
        <v>150.55000000000001</v>
      </c>
    </row>
    <row r="478" spans="1:2" x14ac:dyDescent="0.25">
      <c r="A478" s="8">
        <v>44561</v>
      </c>
      <c r="B478">
        <v>154.38</v>
      </c>
    </row>
    <row r="479" spans="1:2" x14ac:dyDescent="0.25">
      <c r="A479" s="8">
        <v>44592</v>
      </c>
      <c r="B479">
        <v>131.44</v>
      </c>
    </row>
    <row r="480" spans="1:2" x14ac:dyDescent="0.25">
      <c r="A480" s="8">
        <v>44620</v>
      </c>
      <c r="B480">
        <v>137.36000000000001</v>
      </c>
    </row>
    <row r="481" spans="1:2" x14ac:dyDescent="0.25">
      <c r="A481" s="8">
        <v>44651</v>
      </c>
      <c r="B481">
        <v>140.72999999999999</v>
      </c>
    </row>
    <row r="482" spans="1:2" x14ac:dyDescent="0.25">
      <c r="A482" s="8">
        <v>44680</v>
      </c>
      <c r="B482">
        <v>136.69</v>
      </c>
    </row>
    <row r="483" spans="1:2" x14ac:dyDescent="0.25">
      <c r="A483" s="8">
        <v>44712</v>
      </c>
      <c r="B483">
        <v>119.1</v>
      </c>
    </row>
    <row r="484" spans="1:2" x14ac:dyDescent="0.25">
      <c r="A484" s="8">
        <v>44742</v>
      </c>
      <c r="B484">
        <v>119.94</v>
      </c>
    </row>
    <row r="485" spans="1:2" x14ac:dyDescent="0.25">
      <c r="A485" s="8">
        <v>44771</v>
      </c>
      <c r="B485">
        <v>122.29</v>
      </c>
    </row>
    <row r="486" spans="1:2" x14ac:dyDescent="0.25">
      <c r="A486" s="8">
        <v>44804</v>
      </c>
      <c r="B486">
        <v>119.71</v>
      </c>
    </row>
    <row r="487" spans="1:2" x14ac:dyDescent="0.25">
      <c r="A487" s="8">
        <v>44834</v>
      </c>
      <c r="B487">
        <v>123.59</v>
      </c>
    </row>
    <row r="488" spans="1:2" x14ac:dyDescent="0.25">
      <c r="A488" s="8">
        <v>44865</v>
      </c>
      <c r="B488">
        <v>111.96</v>
      </c>
    </row>
    <row r="489" spans="1:2" x14ac:dyDescent="0.25">
      <c r="A489" s="8">
        <v>44895</v>
      </c>
      <c r="B489">
        <v>118.47</v>
      </c>
    </row>
    <row r="490" spans="1:2" x14ac:dyDescent="0.25">
      <c r="A490" s="8">
        <v>44925</v>
      </c>
      <c r="B490">
        <v>113.57</v>
      </c>
    </row>
    <row r="491" spans="1:2" x14ac:dyDescent="0.25">
      <c r="A491" s="8">
        <v>44957</v>
      </c>
      <c r="B491">
        <v>123.29</v>
      </c>
    </row>
    <row r="492" spans="1:2" x14ac:dyDescent="0.25">
      <c r="A492" s="8">
        <v>44985</v>
      </c>
      <c r="B492">
        <v>120.01</v>
      </c>
    </row>
    <row r="493" spans="1:2" x14ac:dyDescent="0.25">
      <c r="A493" s="8">
        <v>45016</v>
      </c>
      <c r="B493">
        <v>125.85</v>
      </c>
    </row>
    <row r="494" spans="1:2" x14ac:dyDescent="0.25">
      <c r="A494" s="8">
        <v>45044</v>
      </c>
      <c r="B494">
        <v>138.44</v>
      </c>
    </row>
    <row r="495" spans="1:2" x14ac:dyDescent="0.25">
      <c r="A495" s="8">
        <v>45077</v>
      </c>
      <c r="B495">
        <v>158.30000000000001</v>
      </c>
    </row>
    <row r="496" spans="1:2" x14ac:dyDescent="0.25">
      <c r="A496" s="8">
        <v>45107</v>
      </c>
      <c r="B496">
        <v>149.96</v>
      </c>
    </row>
    <row r="497" spans="1:2" x14ac:dyDescent="0.25">
      <c r="A497" s="8">
        <v>45138</v>
      </c>
      <c r="B497">
        <v>145.47</v>
      </c>
    </row>
    <row r="498" spans="1:2" x14ac:dyDescent="0.25">
      <c r="A498" s="8">
        <v>45169</v>
      </c>
      <c r="B498">
        <v>144.69999999999999</v>
      </c>
    </row>
    <row r="499" spans="1:2" x14ac:dyDescent="0.25">
      <c r="A499" s="8">
        <v>45198</v>
      </c>
      <c r="B499">
        <v>134.5</v>
      </c>
    </row>
    <row r="500" spans="1:2" x14ac:dyDescent="0.25">
      <c r="A500" s="8">
        <v>45230</v>
      </c>
      <c r="B500">
        <v>128.21</v>
      </c>
    </row>
    <row r="501" spans="1:2" x14ac:dyDescent="0.25">
      <c r="A501" s="8">
        <v>45260</v>
      </c>
      <c r="B501">
        <v>144.54</v>
      </c>
    </row>
    <row r="502" spans="1:2" x14ac:dyDescent="0.25">
      <c r="A502" s="8">
        <v>45289</v>
      </c>
      <c r="B502">
        <v>138.05000000000001</v>
      </c>
    </row>
    <row r="503" spans="1:2" x14ac:dyDescent="0.25">
      <c r="A503" s="8">
        <v>45322</v>
      </c>
      <c r="B503">
        <v>150.21</v>
      </c>
    </row>
    <row r="504" spans="1:2" x14ac:dyDescent="0.25">
      <c r="A504" s="8">
        <v>45351</v>
      </c>
      <c r="B504">
        <v>149.83000000000001</v>
      </c>
    </row>
    <row r="505" spans="1:2" x14ac:dyDescent="0.25">
      <c r="A505" s="8">
        <v>45380</v>
      </c>
      <c r="B505">
        <v>155.44</v>
      </c>
    </row>
    <row r="506" spans="1:2" x14ac:dyDescent="0.25">
      <c r="A506" s="8">
        <v>45412</v>
      </c>
      <c r="B506">
        <v>132.4</v>
      </c>
    </row>
    <row r="507" spans="1:2" x14ac:dyDescent="0.25">
      <c r="A507" s="8">
        <v>45443</v>
      </c>
      <c r="B507">
        <v>148.1</v>
      </c>
    </row>
    <row r="508" spans="1:2" x14ac:dyDescent="0.25">
      <c r="A508" s="8">
        <v>45471</v>
      </c>
      <c r="B508">
        <v>141.79</v>
      </c>
    </row>
    <row r="509" spans="1:2" x14ac:dyDescent="0.25">
      <c r="A509" s="8">
        <v>45504</v>
      </c>
      <c r="B509">
        <v>136.69</v>
      </c>
    </row>
    <row r="510" spans="1:2" x14ac:dyDescent="0.25">
      <c r="A510" s="8">
        <v>45534</v>
      </c>
      <c r="B510">
        <v>159</v>
      </c>
    </row>
    <row r="511" spans="1:2" x14ac:dyDescent="0.25">
      <c r="A511" s="8">
        <v>45565</v>
      </c>
      <c r="B511">
        <v>154.30000000000001</v>
      </c>
    </row>
    <row r="512" spans="1:2" x14ac:dyDescent="0.25">
      <c r="A512" s="8">
        <v>45596</v>
      </c>
      <c r="B512">
        <v>152.07</v>
      </c>
    </row>
    <row r="513" spans="1:2" x14ac:dyDescent="0.25">
      <c r="A513" s="8">
        <v>45625</v>
      </c>
      <c r="B513">
        <v>164.62</v>
      </c>
    </row>
    <row r="514" spans="1:2" x14ac:dyDescent="0.25">
      <c r="A514" s="8">
        <v>45657</v>
      </c>
      <c r="B514">
        <v>169.16</v>
      </c>
    </row>
    <row r="515" spans="1:2" x14ac:dyDescent="0.25">
      <c r="A515" s="8">
        <v>45688</v>
      </c>
      <c r="B515">
        <v>158.47</v>
      </c>
    </row>
    <row r="516" spans="1:2" x14ac:dyDescent="0.25">
      <c r="A516" s="8">
        <v>45716</v>
      </c>
      <c r="B516">
        <v>157.94</v>
      </c>
    </row>
    <row r="517" spans="1:2" x14ac:dyDescent="0.25">
      <c r="A517" s="8">
        <v>45747</v>
      </c>
      <c r="B517">
        <v>148.58000000000001</v>
      </c>
    </row>
    <row r="518" spans="1:2" x14ac:dyDescent="0.25">
      <c r="A518" s="8">
        <v>45777</v>
      </c>
      <c r="B518">
        <v>132.72999999999999</v>
      </c>
    </row>
    <row r="519" spans="1:2" x14ac:dyDescent="0.25">
      <c r="A519" s="8">
        <v>45807</v>
      </c>
      <c r="B519">
        <v>138.25</v>
      </c>
    </row>
    <row r="520" spans="1:2" x14ac:dyDescent="0.25">
      <c r="A520" s="8">
        <v>45838</v>
      </c>
      <c r="B520">
        <v>139.65</v>
      </c>
    </row>
    <row r="521" spans="1:2" x14ac:dyDescent="0.25">
      <c r="A521" s="8">
        <v>45869</v>
      </c>
      <c r="B521">
        <v>152.29</v>
      </c>
    </row>
    <row r="522" spans="1:2" x14ac:dyDescent="0.25">
      <c r="A522" s="8">
        <v>45898</v>
      </c>
      <c r="B522">
        <v>152.1</v>
      </c>
    </row>
    <row r="523" spans="1:2" x14ac:dyDescent="0.25">
      <c r="A523" s="8">
        <v>45930</v>
      </c>
      <c r="B523">
        <v>143.44</v>
      </c>
    </row>
    <row r="524" spans="1:2" x14ac:dyDescent="0.25">
      <c r="A524" s="8">
        <v>45961</v>
      </c>
      <c r="B524">
        <v>142.78</v>
      </c>
    </row>
    <row r="525" spans="1:2" x14ac:dyDescent="0.25">
      <c r="A525" s="8">
        <v>45989</v>
      </c>
      <c r="B525">
        <v>143</v>
      </c>
    </row>
    <row r="526" spans="1:2" x14ac:dyDescent="0.25">
      <c r="A526" s="8">
        <v>46022</v>
      </c>
      <c r="B526">
        <v>148.69999999999999</v>
      </c>
    </row>
    <row r="527" spans="1:2" x14ac:dyDescent="0.25">
      <c r="A527" s="8">
        <v>46052</v>
      </c>
      <c r="B527">
        <v>143.65</v>
      </c>
    </row>
    <row r="541" spans="1:4" x14ac:dyDescent="0.25">
      <c r="A541" s="6" t="s">
        <v>359</v>
      </c>
      <c r="B541" s="6" t="s">
        <v>360</v>
      </c>
      <c r="C541" s="6" t="s">
        <v>361</v>
      </c>
      <c r="D541" s="6" t="s">
        <v>54</v>
      </c>
    </row>
    <row r="542" spans="1:4" x14ac:dyDescent="0.25">
      <c r="A542" s="8">
        <f ca="1">_xll.BDH("VIX3M Index","PX_LAST","02/01/2016",TODAY(),"Per=M","cols=2;rows=121")</f>
        <v>42398</v>
      </c>
      <c r="B542">
        <v>22.66</v>
      </c>
    </row>
    <row r="543" spans="1:4" x14ac:dyDescent="0.25">
      <c r="A543" s="8">
        <v>42429</v>
      </c>
      <c r="B543">
        <v>22.39</v>
      </c>
    </row>
    <row r="544" spans="1:4" x14ac:dyDescent="0.25">
      <c r="A544" s="8">
        <v>42460</v>
      </c>
      <c r="B544">
        <v>17.079999999999998</v>
      </c>
    </row>
    <row r="545" spans="1:2" x14ac:dyDescent="0.25">
      <c r="A545" s="8">
        <v>42489</v>
      </c>
      <c r="B545">
        <v>18.45</v>
      </c>
    </row>
    <row r="546" spans="1:2" x14ac:dyDescent="0.25">
      <c r="A546" s="8">
        <v>42521</v>
      </c>
      <c r="B546">
        <v>16.63</v>
      </c>
    </row>
    <row r="547" spans="1:2" x14ac:dyDescent="0.25">
      <c r="A547" s="8">
        <v>42551</v>
      </c>
      <c r="B547">
        <v>18.09</v>
      </c>
    </row>
    <row r="548" spans="1:2" x14ac:dyDescent="0.25">
      <c r="A548" s="8">
        <v>42580</v>
      </c>
      <c r="B548">
        <v>15.42</v>
      </c>
    </row>
    <row r="549" spans="1:2" x14ac:dyDescent="0.25">
      <c r="A549" s="8">
        <v>42613</v>
      </c>
      <c r="B549">
        <v>16.14</v>
      </c>
    </row>
    <row r="550" spans="1:2" x14ac:dyDescent="0.25">
      <c r="A550" s="8">
        <v>42643</v>
      </c>
      <c r="B550">
        <v>16.37</v>
      </c>
    </row>
    <row r="551" spans="1:2" x14ac:dyDescent="0.25">
      <c r="A551" s="8">
        <v>42674</v>
      </c>
      <c r="B551">
        <v>17.850000000000001</v>
      </c>
    </row>
    <row r="552" spans="1:2" x14ac:dyDescent="0.25">
      <c r="A552" s="8">
        <v>42704</v>
      </c>
      <c r="B552">
        <v>16.100000000000001</v>
      </c>
    </row>
    <row r="553" spans="1:2" x14ac:dyDescent="0.25">
      <c r="A553" s="8">
        <v>42734</v>
      </c>
      <c r="B553">
        <v>16.54</v>
      </c>
    </row>
    <row r="554" spans="1:2" x14ac:dyDescent="0.25">
      <c r="A554" s="8">
        <v>42766</v>
      </c>
      <c r="B554">
        <v>14.48</v>
      </c>
    </row>
    <row r="555" spans="1:2" x14ac:dyDescent="0.25">
      <c r="A555" s="8">
        <v>42794</v>
      </c>
      <c r="B555">
        <v>15.28</v>
      </c>
    </row>
    <row r="556" spans="1:2" x14ac:dyDescent="0.25">
      <c r="A556" s="8">
        <v>42825</v>
      </c>
      <c r="B556">
        <v>13.6</v>
      </c>
    </row>
    <row r="557" spans="1:2" x14ac:dyDescent="0.25">
      <c r="A557" s="8">
        <v>42853</v>
      </c>
      <c r="B557">
        <v>12.93</v>
      </c>
    </row>
    <row r="558" spans="1:2" x14ac:dyDescent="0.25">
      <c r="A558" s="8">
        <v>42886</v>
      </c>
      <c r="B558">
        <v>12.63</v>
      </c>
    </row>
    <row r="559" spans="1:2" x14ac:dyDescent="0.25">
      <c r="A559" s="8">
        <v>42916</v>
      </c>
      <c r="B559">
        <v>13.14</v>
      </c>
    </row>
    <row r="560" spans="1:2" x14ac:dyDescent="0.25">
      <c r="A560" s="8">
        <v>42947</v>
      </c>
      <c r="B560">
        <v>12.47</v>
      </c>
    </row>
    <row r="561" spans="1:2" x14ac:dyDescent="0.25">
      <c r="A561" s="8">
        <v>42978</v>
      </c>
      <c r="B561">
        <v>13.8</v>
      </c>
    </row>
    <row r="562" spans="1:2" x14ac:dyDescent="0.25">
      <c r="A562" s="8">
        <v>43007</v>
      </c>
      <c r="B562">
        <v>12.49</v>
      </c>
    </row>
    <row r="563" spans="1:2" x14ac:dyDescent="0.25">
      <c r="A563" s="8">
        <v>43039</v>
      </c>
      <c r="B563">
        <v>12.38</v>
      </c>
    </row>
    <row r="564" spans="1:2" x14ac:dyDescent="0.25">
      <c r="A564" s="8">
        <v>43069</v>
      </c>
      <c r="B564">
        <v>13.04</v>
      </c>
    </row>
    <row r="565" spans="1:2" x14ac:dyDescent="0.25">
      <c r="A565" s="8">
        <v>43098</v>
      </c>
      <c r="B565">
        <v>13.09</v>
      </c>
    </row>
    <row r="566" spans="1:2" x14ac:dyDescent="0.25">
      <c r="A566" s="8">
        <v>43131</v>
      </c>
      <c r="B566">
        <v>14.9</v>
      </c>
    </row>
    <row r="567" spans="1:2" x14ac:dyDescent="0.25">
      <c r="A567" s="8">
        <v>43159</v>
      </c>
      <c r="B567">
        <v>19.89</v>
      </c>
    </row>
    <row r="568" spans="1:2" x14ac:dyDescent="0.25">
      <c r="A568" s="8">
        <v>43189</v>
      </c>
      <c r="B568">
        <v>20.55</v>
      </c>
    </row>
    <row r="569" spans="1:2" x14ac:dyDescent="0.25">
      <c r="A569" s="8">
        <v>43220</v>
      </c>
      <c r="B569">
        <v>17.34</v>
      </c>
    </row>
    <row r="570" spans="1:2" x14ac:dyDescent="0.25">
      <c r="A570" s="8">
        <v>43251</v>
      </c>
      <c r="B570">
        <v>16.329999999999998</v>
      </c>
    </row>
    <row r="571" spans="1:2" x14ac:dyDescent="0.25">
      <c r="A571" s="8">
        <v>43280</v>
      </c>
      <c r="B571">
        <v>17.14</v>
      </c>
    </row>
    <row r="572" spans="1:2" x14ac:dyDescent="0.25">
      <c r="A572" s="8">
        <v>43312</v>
      </c>
      <c r="B572">
        <v>14.87</v>
      </c>
    </row>
    <row r="573" spans="1:2" x14ac:dyDescent="0.25">
      <c r="A573" s="8">
        <v>43343</v>
      </c>
      <c r="B573">
        <v>15.15</v>
      </c>
    </row>
    <row r="574" spans="1:2" x14ac:dyDescent="0.25">
      <c r="A574" s="8">
        <v>43371</v>
      </c>
      <c r="B574">
        <v>14.77</v>
      </c>
    </row>
    <row r="575" spans="1:2" x14ac:dyDescent="0.25">
      <c r="A575" s="8">
        <v>43404</v>
      </c>
      <c r="B575">
        <v>21.15</v>
      </c>
    </row>
    <row r="576" spans="1:2" x14ac:dyDescent="0.25">
      <c r="A576" s="8">
        <v>43434</v>
      </c>
      <c r="B576">
        <v>18.89</v>
      </c>
    </row>
    <row r="577" spans="1:2" x14ac:dyDescent="0.25">
      <c r="A577" s="8">
        <v>43465</v>
      </c>
      <c r="B577">
        <v>23.73</v>
      </c>
    </row>
    <row r="578" spans="1:2" x14ac:dyDescent="0.25">
      <c r="A578" s="8">
        <v>43496</v>
      </c>
      <c r="B578">
        <v>17.88</v>
      </c>
    </row>
    <row r="579" spans="1:2" x14ac:dyDescent="0.25">
      <c r="A579" s="8">
        <v>43524</v>
      </c>
      <c r="B579">
        <v>16.100000000000001</v>
      </c>
    </row>
    <row r="580" spans="1:2" x14ac:dyDescent="0.25">
      <c r="A580" s="8">
        <v>43553</v>
      </c>
      <c r="B580">
        <v>15.8</v>
      </c>
    </row>
    <row r="581" spans="1:2" x14ac:dyDescent="0.25">
      <c r="A581" s="8">
        <v>43585</v>
      </c>
      <c r="B581">
        <v>15.23</v>
      </c>
    </row>
    <row r="582" spans="1:2" x14ac:dyDescent="0.25">
      <c r="A582" s="8">
        <v>43616</v>
      </c>
      <c r="B582">
        <v>18.829999999999998</v>
      </c>
    </row>
    <row r="583" spans="1:2" x14ac:dyDescent="0.25">
      <c r="A583" s="8">
        <v>43644</v>
      </c>
      <c r="B583">
        <v>16.059999999999999</v>
      </c>
    </row>
    <row r="584" spans="1:2" x14ac:dyDescent="0.25">
      <c r="A584" s="8">
        <v>43677</v>
      </c>
      <c r="B584">
        <v>16.91</v>
      </c>
    </row>
    <row r="585" spans="1:2" x14ac:dyDescent="0.25">
      <c r="A585" s="8">
        <v>43707</v>
      </c>
      <c r="B585">
        <v>19.54</v>
      </c>
    </row>
    <row r="586" spans="1:2" x14ac:dyDescent="0.25">
      <c r="A586" s="8">
        <v>43738</v>
      </c>
      <c r="B586">
        <v>17.96</v>
      </c>
    </row>
    <row r="587" spans="1:2" x14ac:dyDescent="0.25">
      <c r="A587" s="8">
        <v>43769</v>
      </c>
      <c r="B587">
        <v>16.05</v>
      </c>
    </row>
    <row r="588" spans="1:2" x14ac:dyDescent="0.25">
      <c r="A588" s="8">
        <v>43798</v>
      </c>
      <c r="B588">
        <v>15.51</v>
      </c>
    </row>
    <row r="589" spans="1:2" x14ac:dyDescent="0.25">
      <c r="A589" s="8">
        <v>43830</v>
      </c>
      <c r="B589">
        <v>15.87</v>
      </c>
    </row>
    <row r="590" spans="1:2" x14ac:dyDescent="0.25">
      <c r="A590" s="8">
        <v>43861</v>
      </c>
      <c r="B590">
        <v>18.63</v>
      </c>
    </row>
    <row r="591" spans="1:2" x14ac:dyDescent="0.25">
      <c r="A591" s="8">
        <v>43889</v>
      </c>
      <c r="B591">
        <v>29.85</v>
      </c>
    </row>
    <row r="592" spans="1:2" x14ac:dyDescent="0.25">
      <c r="A592" s="8">
        <v>43921</v>
      </c>
      <c r="B592">
        <v>48.32</v>
      </c>
    </row>
    <row r="593" spans="1:2" x14ac:dyDescent="0.25">
      <c r="A593" s="8">
        <v>43951</v>
      </c>
      <c r="B593">
        <v>35.049999999999997</v>
      </c>
    </row>
    <row r="594" spans="1:2" x14ac:dyDescent="0.25">
      <c r="A594" s="8">
        <v>43980</v>
      </c>
      <c r="B594">
        <v>30.27</v>
      </c>
    </row>
    <row r="595" spans="1:2" x14ac:dyDescent="0.25">
      <c r="A595" s="8">
        <v>44012</v>
      </c>
      <c r="B595">
        <v>32.520000000000003</v>
      </c>
    </row>
    <row r="596" spans="1:2" x14ac:dyDescent="0.25">
      <c r="A596" s="8">
        <v>44043</v>
      </c>
      <c r="B596">
        <v>29.71</v>
      </c>
    </row>
    <row r="597" spans="1:2" x14ac:dyDescent="0.25">
      <c r="A597" s="8">
        <v>44074</v>
      </c>
      <c r="B597">
        <v>31.85</v>
      </c>
    </row>
    <row r="598" spans="1:2" x14ac:dyDescent="0.25">
      <c r="A598" s="8">
        <v>44104</v>
      </c>
      <c r="B598">
        <v>31.64</v>
      </c>
    </row>
    <row r="599" spans="1:2" x14ac:dyDescent="0.25">
      <c r="A599" s="8">
        <v>44134</v>
      </c>
      <c r="B599">
        <v>36.270000000000003</v>
      </c>
    </row>
    <row r="600" spans="1:2" x14ac:dyDescent="0.25">
      <c r="A600" s="8">
        <v>44165</v>
      </c>
      <c r="B600">
        <v>24.33</v>
      </c>
    </row>
    <row r="601" spans="1:2" x14ac:dyDescent="0.25">
      <c r="A601" s="8">
        <v>44196</v>
      </c>
      <c r="B601">
        <v>25.28</v>
      </c>
    </row>
    <row r="602" spans="1:2" x14ac:dyDescent="0.25">
      <c r="A602" s="8">
        <v>44225</v>
      </c>
      <c r="B602">
        <v>33.880000000000003</v>
      </c>
    </row>
    <row r="603" spans="1:2" x14ac:dyDescent="0.25">
      <c r="A603" s="8">
        <v>44253</v>
      </c>
      <c r="B603">
        <v>29.6</v>
      </c>
    </row>
    <row r="604" spans="1:2" x14ac:dyDescent="0.25">
      <c r="A604" s="8">
        <v>44286</v>
      </c>
      <c r="B604">
        <v>22.15</v>
      </c>
    </row>
    <row r="605" spans="1:2" x14ac:dyDescent="0.25">
      <c r="A605" s="8">
        <v>44316</v>
      </c>
      <c r="B605">
        <v>22.07</v>
      </c>
    </row>
    <row r="606" spans="1:2" x14ac:dyDescent="0.25">
      <c r="A606" s="8">
        <v>44347</v>
      </c>
      <c r="B606">
        <v>20.48</v>
      </c>
    </row>
    <row r="607" spans="1:2" x14ac:dyDescent="0.25">
      <c r="A607" s="8">
        <v>44377</v>
      </c>
      <c r="B607">
        <v>19.510000000000002</v>
      </c>
    </row>
    <row r="608" spans="1:2" x14ac:dyDescent="0.25">
      <c r="A608" s="8">
        <v>44407</v>
      </c>
      <c r="B608">
        <v>22.18</v>
      </c>
    </row>
    <row r="609" spans="1:2" x14ac:dyDescent="0.25">
      <c r="A609" s="8">
        <v>44439</v>
      </c>
      <c r="B609">
        <v>20.420000000000002</v>
      </c>
    </row>
    <row r="610" spans="1:2" x14ac:dyDescent="0.25">
      <c r="A610" s="8">
        <v>44469</v>
      </c>
      <c r="B610">
        <v>23.87</v>
      </c>
    </row>
    <row r="611" spans="1:2" x14ac:dyDescent="0.25">
      <c r="A611" s="8">
        <v>44498</v>
      </c>
      <c r="B611">
        <v>20.37</v>
      </c>
    </row>
    <row r="612" spans="1:2" x14ac:dyDescent="0.25">
      <c r="A612" s="8">
        <v>44530</v>
      </c>
      <c r="B612">
        <v>28.13</v>
      </c>
    </row>
    <row r="613" spans="1:2" x14ac:dyDescent="0.25">
      <c r="A613" s="8">
        <v>44561</v>
      </c>
      <c r="B613">
        <v>21.88</v>
      </c>
    </row>
    <row r="614" spans="1:2" x14ac:dyDescent="0.25">
      <c r="A614" s="8">
        <v>44592</v>
      </c>
      <c r="B614">
        <v>26.85</v>
      </c>
    </row>
    <row r="615" spans="1:2" x14ac:dyDescent="0.25">
      <c r="A615" s="8">
        <v>44620</v>
      </c>
      <c r="B615">
        <v>29.65</v>
      </c>
    </row>
    <row r="616" spans="1:2" x14ac:dyDescent="0.25">
      <c r="A616" s="8">
        <v>44651</v>
      </c>
      <c r="B616">
        <v>24.46</v>
      </c>
    </row>
    <row r="617" spans="1:2" x14ac:dyDescent="0.25">
      <c r="A617" s="8">
        <v>44680</v>
      </c>
      <c r="B617">
        <v>33.18</v>
      </c>
    </row>
    <row r="618" spans="1:2" x14ac:dyDescent="0.25">
      <c r="A618" s="8">
        <v>44712</v>
      </c>
      <c r="B618">
        <v>27.99</v>
      </c>
    </row>
    <row r="619" spans="1:2" x14ac:dyDescent="0.25">
      <c r="A619" s="8">
        <v>44742</v>
      </c>
      <c r="B619">
        <v>29.71</v>
      </c>
    </row>
    <row r="620" spans="1:2" x14ac:dyDescent="0.25">
      <c r="A620" s="8">
        <v>44771</v>
      </c>
      <c r="B620">
        <v>23.79</v>
      </c>
    </row>
    <row r="621" spans="1:2" x14ac:dyDescent="0.25">
      <c r="A621" s="8">
        <v>44804</v>
      </c>
      <c r="B621">
        <v>26.65</v>
      </c>
    </row>
    <row r="622" spans="1:2" x14ac:dyDescent="0.25">
      <c r="A622" s="8">
        <v>44834</v>
      </c>
      <c r="B622">
        <v>31.86</v>
      </c>
    </row>
    <row r="623" spans="1:2" x14ac:dyDescent="0.25">
      <c r="A623" s="8">
        <v>44865</v>
      </c>
      <c r="B623">
        <v>26.92</v>
      </c>
    </row>
    <row r="624" spans="1:2" x14ac:dyDescent="0.25">
      <c r="A624" s="8">
        <v>44895</v>
      </c>
      <c r="B624">
        <v>23.53</v>
      </c>
    </row>
    <row r="625" spans="1:2" x14ac:dyDescent="0.25">
      <c r="A625" s="8">
        <v>44925</v>
      </c>
      <c r="B625">
        <v>24.29</v>
      </c>
    </row>
    <row r="626" spans="1:2" x14ac:dyDescent="0.25">
      <c r="A626" s="8">
        <v>44957</v>
      </c>
      <c r="B626">
        <v>20.81</v>
      </c>
    </row>
    <row r="627" spans="1:2" x14ac:dyDescent="0.25">
      <c r="A627" s="8">
        <v>44985</v>
      </c>
      <c r="B627">
        <v>21.32</v>
      </c>
    </row>
    <row r="628" spans="1:2" x14ac:dyDescent="0.25">
      <c r="A628" s="8">
        <v>45016</v>
      </c>
      <c r="B628">
        <v>21.23</v>
      </c>
    </row>
    <row r="629" spans="1:2" x14ac:dyDescent="0.25">
      <c r="A629" s="8">
        <v>45044</v>
      </c>
      <c r="B629">
        <v>19.54</v>
      </c>
    </row>
    <row r="630" spans="1:2" x14ac:dyDescent="0.25">
      <c r="A630" s="8">
        <v>45077</v>
      </c>
      <c r="B630">
        <v>20.21</v>
      </c>
    </row>
    <row r="631" spans="1:2" x14ac:dyDescent="0.25">
      <c r="A631" s="8">
        <v>45107</v>
      </c>
      <c r="B631">
        <v>16.02</v>
      </c>
    </row>
    <row r="632" spans="1:2" x14ac:dyDescent="0.25">
      <c r="A632" s="8">
        <v>45138</v>
      </c>
      <c r="B632">
        <v>16.010000000000002</v>
      </c>
    </row>
    <row r="633" spans="1:2" x14ac:dyDescent="0.25">
      <c r="A633" s="8">
        <v>45169</v>
      </c>
      <c r="B633">
        <v>15.92</v>
      </c>
    </row>
    <row r="634" spans="1:2" x14ac:dyDescent="0.25">
      <c r="A634" s="8">
        <v>45198</v>
      </c>
      <c r="B634">
        <v>18.510000000000002</v>
      </c>
    </row>
    <row r="635" spans="1:2" x14ac:dyDescent="0.25">
      <c r="A635" s="8">
        <v>45230</v>
      </c>
      <c r="B635">
        <v>19.489999999999998</v>
      </c>
    </row>
    <row r="636" spans="1:2" x14ac:dyDescent="0.25">
      <c r="A636" s="8">
        <v>45260</v>
      </c>
      <c r="B636">
        <v>15.44</v>
      </c>
    </row>
    <row r="637" spans="1:2" x14ac:dyDescent="0.25">
      <c r="A637" s="8">
        <v>45289</v>
      </c>
      <c r="B637">
        <v>15.26</v>
      </c>
    </row>
    <row r="638" spans="1:2" x14ac:dyDescent="0.25">
      <c r="A638" s="8">
        <v>45322</v>
      </c>
      <c r="B638">
        <v>15.96</v>
      </c>
    </row>
    <row r="639" spans="1:2" x14ac:dyDescent="0.25">
      <c r="A639" s="8">
        <v>45351</v>
      </c>
      <c r="B639">
        <v>14.93</v>
      </c>
    </row>
    <row r="640" spans="1:2" x14ac:dyDescent="0.25">
      <c r="A640" s="8">
        <v>45380</v>
      </c>
      <c r="B640">
        <v>15.19</v>
      </c>
    </row>
    <row r="641" spans="1:2" x14ac:dyDescent="0.25">
      <c r="A641" s="8">
        <v>45412</v>
      </c>
      <c r="B641">
        <v>16.59</v>
      </c>
    </row>
    <row r="642" spans="1:2" x14ac:dyDescent="0.25">
      <c r="A642" s="8">
        <v>45443</v>
      </c>
      <c r="B642">
        <v>14.66</v>
      </c>
    </row>
    <row r="643" spans="1:2" x14ac:dyDescent="0.25">
      <c r="A643" s="8">
        <v>45471</v>
      </c>
      <c r="B643">
        <v>14.52</v>
      </c>
    </row>
    <row r="644" spans="1:2" x14ac:dyDescent="0.25">
      <c r="A644" s="8">
        <v>45504</v>
      </c>
      <c r="B644">
        <v>16.97</v>
      </c>
    </row>
    <row r="645" spans="1:2" x14ac:dyDescent="0.25">
      <c r="A645" s="8">
        <v>45534</v>
      </c>
      <c r="B645">
        <v>17.43</v>
      </c>
    </row>
    <row r="646" spans="1:2" x14ac:dyDescent="0.25">
      <c r="A646" s="8">
        <v>45565</v>
      </c>
      <c r="B646">
        <v>19.22</v>
      </c>
    </row>
    <row r="647" spans="1:2" x14ac:dyDescent="0.25">
      <c r="A647" s="8">
        <v>45596</v>
      </c>
      <c r="B647">
        <v>22.64</v>
      </c>
    </row>
    <row r="648" spans="1:2" x14ac:dyDescent="0.25">
      <c r="A648" s="8">
        <v>45625</v>
      </c>
      <c r="B648">
        <v>16.260000000000002</v>
      </c>
    </row>
    <row r="649" spans="1:2" x14ac:dyDescent="0.25">
      <c r="A649" s="8">
        <v>45657</v>
      </c>
      <c r="B649">
        <v>18.98</v>
      </c>
    </row>
    <row r="650" spans="1:2" x14ac:dyDescent="0.25">
      <c r="A650" s="8">
        <v>45688</v>
      </c>
      <c r="B650">
        <v>18.43</v>
      </c>
    </row>
    <row r="651" spans="1:2" x14ac:dyDescent="0.25">
      <c r="A651" s="8">
        <v>45716</v>
      </c>
      <c r="B651">
        <v>20.18</v>
      </c>
    </row>
    <row r="652" spans="1:2" x14ac:dyDescent="0.25">
      <c r="A652" s="8">
        <v>45747</v>
      </c>
      <c r="B652">
        <v>21.97</v>
      </c>
    </row>
    <row r="653" spans="1:2" x14ac:dyDescent="0.25">
      <c r="A653" s="8">
        <v>45777</v>
      </c>
      <c r="B653">
        <v>25.54</v>
      </c>
    </row>
    <row r="654" spans="1:2" x14ac:dyDescent="0.25">
      <c r="A654" s="8">
        <v>45807</v>
      </c>
      <c r="B654">
        <v>21.38</v>
      </c>
    </row>
    <row r="655" spans="1:2" x14ac:dyDescent="0.25">
      <c r="A655" s="8">
        <v>45838</v>
      </c>
      <c r="B655">
        <v>19.440000000000001</v>
      </c>
    </row>
    <row r="656" spans="1:2" x14ac:dyDescent="0.25">
      <c r="A656" s="8">
        <v>45869</v>
      </c>
      <c r="B656">
        <v>19.14</v>
      </c>
    </row>
    <row r="657" spans="1:2" x14ac:dyDescent="0.25">
      <c r="A657" s="8">
        <v>45898</v>
      </c>
      <c r="B657">
        <v>18.350000000000001</v>
      </c>
    </row>
    <row r="658" spans="1:2" x14ac:dyDescent="0.25">
      <c r="A658" s="8">
        <v>45930</v>
      </c>
      <c r="B658">
        <v>18.77</v>
      </c>
    </row>
    <row r="659" spans="1:2" x14ac:dyDescent="0.25">
      <c r="A659" s="8">
        <v>45961</v>
      </c>
      <c r="B659">
        <v>20.49</v>
      </c>
    </row>
    <row r="660" spans="1:2" x14ac:dyDescent="0.25">
      <c r="A660" s="8">
        <v>45989</v>
      </c>
      <c r="B660">
        <v>19.64</v>
      </c>
    </row>
    <row r="661" spans="1:2" x14ac:dyDescent="0.25">
      <c r="A661" s="8">
        <v>46022</v>
      </c>
      <c r="B661">
        <v>18.18</v>
      </c>
    </row>
    <row r="662" spans="1:2" x14ac:dyDescent="0.25">
      <c r="A662" s="8">
        <v>46052</v>
      </c>
      <c r="B662">
        <v>20.07</v>
      </c>
    </row>
    <row r="676" spans="1:4" x14ac:dyDescent="0.25">
      <c r="A676" s="6" t="s">
        <v>362</v>
      </c>
      <c r="B676" s="6" t="s">
        <v>363</v>
      </c>
      <c r="C676" s="6" t="s">
        <v>364</v>
      </c>
      <c r="D676" s="6" t="s">
        <v>54</v>
      </c>
    </row>
    <row r="677" spans="1:4" x14ac:dyDescent="0.25">
      <c r="A677" s="8">
        <f ca="1">_xll.BDH("V2X Index","PX_LAST","02/01/2016",TODAY(),"Per=M","cols=2;rows=121")</f>
        <v>42398</v>
      </c>
      <c r="B677">
        <v>27.388999999999999</v>
      </c>
    </row>
    <row r="678" spans="1:4" x14ac:dyDescent="0.25">
      <c r="A678" s="8">
        <v>42429</v>
      </c>
      <c r="B678">
        <v>29.729800000000001</v>
      </c>
    </row>
    <row r="679" spans="1:4" x14ac:dyDescent="0.25">
      <c r="A679" s="8">
        <v>42460</v>
      </c>
      <c r="B679">
        <v>23.448699999999999</v>
      </c>
    </row>
    <row r="680" spans="1:4" x14ac:dyDescent="0.25">
      <c r="A680" s="8">
        <v>42489</v>
      </c>
      <c r="B680">
        <v>24.033000000000001</v>
      </c>
    </row>
    <row r="681" spans="1:4" x14ac:dyDescent="0.25">
      <c r="A681" s="8">
        <v>42521</v>
      </c>
      <c r="B681">
        <v>22.114899999999999</v>
      </c>
    </row>
    <row r="682" spans="1:4" x14ac:dyDescent="0.25">
      <c r="A682" s="8">
        <v>42551</v>
      </c>
      <c r="B682">
        <v>26.076499999999999</v>
      </c>
    </row>
    <row r="683" spans="1:4" x14ac:dyDescent="0.25">
      <c r="A683" s="8">
        <v>42580</v>
      </c>
      <c r="B683">
        <v>20.245100000000001</v>
      </c>
    </row>
    <row r="684" spans="1:4" x14ac:dyDescent="0.25">
      <c r="A684" s="8">
        <v>42613</v>
      </c>
      <c r="B684">
        <v>19.416599999999999</v>
      </c>
    </row>
    <row r="685" spans="1:4" x14ac:dyDescent="0.25">
      <c r="A685" s="8">
        <v>42643</v>
      </c>
      <c r="B685">
        <v>19.769300000000001</v>
      </c>
    </row>
    <row r="686" spans="1:4" x14ac:dyDescent="0.25">
      <c r="A686" s="8">
        <v>42674</v>
      </c>
      <c r="B686">
        <v>21.444900000000001</v>
      </c>
    </row>
    <row r="687" spans="1:4" x14ac:dyDescent="0.25">
      <c r="A687" s="8">
        <v>42704</v>
      </c>
      <c r="B687">
        <v>21.437200000000001</v>
      </c>
    </row>
    <row r="688" spans="1:4" x14ac:dyDescent="0.25">
      <c r="A688" s="8">
        <v>42734</v>
      </c>
      <c r="B688">
        <v>18.123000000000001</v>
      </c>
    </row>
    <row r="689" spans="1:2" x14ac:dyDescent="0.25">
      <c r="A689" s="8">
        <v>42766</v>
      </c>
      <c r="B689">
        <v>17.368200000000002</v>
      </c>
    </row>
    <row r="690" spans="1:2" x14ac:dyDescent="0.25">
      <c r="A690" s="8">
        <v>42794</v>
      </c>
      <c r="B690">
        <v>16.2849</v>
      </c>
    </row>
    <row r="691" spans="1:2" x14ac:dyDescent="0.25">
      <c r="A691" s="8">
        <v>42825</v>
      </c>
      <c r="B691">
        <v>16.522099999999998</v>
      </c>
    </row>
    <row r="692" spans="1:2" x14ac:dyDescent="0.25">
      <c r="A692" s="8">
        <v>42853</v>
      </c>
      <c r="B692">
        <v>17.049499999999998</v>
      </c>
    </row>
    <row r="693" spans="1:2" x14ac:dyDescent="0.25">
      <c r="A693" s="8">
        <v>42886</v>
      </c>
      <c r="B693">
        <v>14.553800000000001</v>
      </c>
    </row>
    <row r="694" spans="1:2" x14ac:dyDescent="0.25">
      <c r="A694" s="8">
        <v>42916</v>
      </c>
      <c r="B694">
        <v>17.253299999999999</v>
      </c>
    </row>
    <row r="695" spans="1:2" x14ac:dyDescent="0.25">
      <c r="A695" s="8">
        <v>42947</v>
      </c>
      <c r="B695">
        <v>13.9033</v>
      </c>
    </row>
    <row r="696" spans="1:2" x14ac:dyDescent="0.25">
      <c r="A696" s="8">
        <v>42978</v>
      </c>
      <c r="B696">
        <v>15.6317</v>
      </c>
    </row>
    <row r="697" spans="1:2" x14ac:dyDescent="0.25">
      <c r="A697" s="8">
        <v>43007</v>
      </c>
      <c r="B697">
        <v>12.120799999999999</v>
      </c>
    </row>
    <row r="698" spans="1:2" x14ac:dyDescent="0.25">
      <c r="A698" s="8">
        <v>43039</v>
      </c>
      <c r="B698">
        <v>11.9864</v>
      </c>
    </row>
    <row r="699" spans="1:2" x14ac:dyDescent="0.25">
      <c r="A699" s="8">
        <v>43069</v>
      </c>
      <c r="B699">
        <v>13.470800000000001</v>
      </c>
    </row>
    <row r="700" spans="1:2" x14ac:dyDescent="0.25">
      <c r="A700" s="8">
        <v>43098</v>
      </c>
      <c r="B700">
        <v>13.5114</v>
      </c>
    </row>
    <row r="701" spans="1:2" x14ac:dyDescent="0.25">
      <c r="A701" s="8">
        <v>43131</v>
      </c>
      <c r="B701">
        <v>15.164400000000001</v>
      </c>
    </row>
    <row r="702" spans="1:2" x14ac:dyDescent="0.25">
      <c r="A702" s="8">
        <v>43159</v>
      </c>
      <c r="B702">
        <v>18.0002</v>
      </c>
    </row>
    <row r="703" spans="1:2" x14ac:dyDescent="0.25">
      <c r="A703" s="8">
        <v>43189</v>
      </c>
      <c r="B703">
        <v>17.436399999999999</v>
      </c>
    </row>
    <row r="704" spans="1:2" x14ac:dyDescent="0.25">
      <c r="A704" s="8">
        <v>43220</v>
      </c>
      <c r="B704">
        <v>13.715400000000001</v>
      </c>
    </row>
    <row r="705" spans="1:2" x14ac:dyDescent="0.25">
      <c r="A705" s="8">
        <v>43251</v>
      </c>
      <c r="B705">
        <v>17.654699999999998</v>
      </c>
    </row>
    <row r="706" spans="1:2" x14ac:dyDescent="0.25">
      <c r="A706" s="8">
        <v>43280</v>
      </c>
      <c r="B706">
        <v>16.633299999999998</v>
      </c>
    </row>
    <row r="707" spans="1:2" x14ac:dyDescent="0.25">
      <c r="A707" s="8">
        <v>43312</v>
      </c>
      <c r="B707">
        <v>12.5596</v>
      </c>
    </row>
    <row r="708" spans="1:2" x14ac:dyDescent="0.25">
      <c r="A708" s="8">
        <v>43343</v>
      </c>
      <c r="B708">
        <v>15.6343</v>
      </c>
    </row>
    <row r="709" spans="1:2" x14ac:dyDescent="0.25">
      <c r="A709" s="8">
        <v>43371</v>
      </c>
      <c r="B709">
        <v>14.7637</v>
      </c>
    </row>
    <row r="710" spans="1:2" x14ac:dyDescent="0.25">
      <c r="A710" s="8">
        <v>43404</v>
      </c>
      <c r="B710">
        <v>20.303799999999999</v>
      </c>
    </row>
    <row r="711" spans="1:2" x14ac:dyDescent="0.25">
      <c r="A711" s="8">
        <v>43434</v>
      </c>
      <c r="B711">
        <v>18.493500000000001</v>
      </c>
    </row>
    <row r="712" spans="1:2" x14ac:dyDescent="0.25">
      <c r="A712" s="8">
        <v>43465</v>
      </c>
      <c r="B712">
        <v>23.8643</v>
      </c>
    </row>
    <row r="713" spans="1:2" x14ac:dyDescent="0.25">
      <c r="A713" s="8">
        <v>43496</v>
      </c>
      <c r="B713">
        <v>15.1126</v>
      </c>
    </row>
    <row r="714" spans="1:2" x14ac:dyDescent="0.25">
      <c r="A714" s="8">
        <v>43524</v>
      </c>
      <c r="B714">
        <v>13.5876</v>
      </c>
    </row>
    <row r="715" spans="1:2" x14ac:dyDescent="0.25">
      <c r="A715" s="8">
        <v>43553</v>
      </c>
      <c r="B715">
        <v>15.274800000000001</v>
      </c>
    </row>
    <row r="716" spans="1:2" x14ac:dyDescent="0.25">
      <c r="A716" s="8">
        <v>43585</v>
      </c>
      <c r="B716">
        <v>13.2624</v>
      </c>
    </row>
    <row r="717" spans="1:2" x14ac:dyDescent="0.25">
      <c r="A717" s="8">
        <v>43616</v>
      </c>
      <c r="B717">
        <v>17.421800000000001</v>
      </c>
    </row>
    <row r="718" spans="1:2" x14ac:dyDescent="0.25">
      <c r="A718" s="8">
        <v>43644</v>
      </c>
      <c r="B718">
        <v>13.7342</v>
      </c>
    </row>
    <row r="719" spans="1:2" x14ac:dyDescent="0.25">
      <c r="A719" s="8">
        <v>43677</v>
      </c>
      <c r="B719">
        <v>14.3909</v>
      </c>
    </row>
    <row r="720" spans="1:2" x14ac:dyDescent="0.25">
      <c r="A720" s="8">
        <v>43707</v>
      </c>
      <c r="B720">
        <v>17.668099999999999</v>
      </c>
    </row>
    <row r="721" spans="1:2" x14ac:dyDescent="0.25">
      <c r="A721" s="8">
        <v>43738</v>
      </c>
      <c r="B721">
        <v>15.828200000000001</v>
      </c>
    </row>
    <row r="722" spans="1:2" x14ac:dyDescent="0.25">
      <c r="A722" s="8">
        <v>43769</v>
      </c>
      <c r="B722">
        <v>13.7919</v>
      </c>
    </row>
    <row r="723" spans="1:2" x14ac:dyDescent="0.25">
      <c r="A723" s="8">
        <v>43798</v>
      </c>
      <c r="B723">
        <v>13.173999999999999</v>
      </c>
    </row>
    <row r="724" spans="1:2" x14ac:dyDescent="0.25">
      <c r="A724" s="8">
        <v>43830</v>
      </c>
      <c r="B724">
        <v>13.954800000000001</v>
      </c>
    </row>
    <row r="725" spans="1:2" x14ac:dyDescent="0.25">
      <c r="A725" s="8">
        <v>43861</v>
      </c>
      <c r="B725">
        <v>17.154199999999999</v>
      </c>
    </row>
    <row r="726" spans="1:2" x14ac:dyDescent="0.25">
      <c r="A726" s="8">
        <v>43889</v>
      </c>
      <c r="B726">
        <v>42.236899999999999</v>
      </c>
    </row>
    <row r="727" spans="1:2" x14ac:dyDescent="0.25">
      <c r="A727" s="8">
        <v>43921</v>
      </c>
      <c r="B727">
        <v>48.592599999999997</v>
      </c>
    </row>
    <row r="728" spans="1:2" x14ac:dyDescent="0.25">
      <c r="A728" s="8">
        <v>43951</v>
      </c>
      <c r="B728">
        <v>33.910499999999999</v>
      </c>
    </row>
    <row r="729" spans="1:2" x14ac:dyDescent="0.25">
      <c r="A729" s="8">
        <v>43980</v>
      </c>
      <c r="B729">
        <v>31.126300000000001</v>
      </c>
    </row>
    <row r="730" spans="1:2" x14ac:dyDescent="0.25">
      <c r="A730" s="8">
        <v>44012</v>
      </c>
      <c r="B730">
        <v>31.7179</v>
      </c>
    </row>
    <row r="731" spans="1:2" x14ac:dyDescent="0.25">
      <c r="A731" s="8">
        <v>44043</v>
      </c>
      <c r="B731">
        <v>26.662500000000001</v>
      </c>
    </row>
    <row r="732" spans="1:2" x14ac:dyDescent="0.25">
      <c r="A732" s="8">
        <v>44074</v>
      </c>
      <c r="B732">
        <v>26.721299999999999</v>
      </c>
    </row>
    <row r="733" spans="1:2" x14ac:dyDescent="0.25">
      <c r="A733" s="8">
        <v>44104</v>
      </c>
      <c r="B733">
        <v>26.059799999999999</v>
      </c>
    </row>
    <row r="734" spans="1:2" x14ac:dyDescent="0.25">
      <c r="A734" s="8">
        <v>44134</v>
      </c>
      <c r="B734">
        <v>35.347200000000001</v>
      </c>
    </row>
    <row r="735" spans="1:2" x14ac:dyDescent="0.25">
      <c r="A735" s="8">
        <v>44165</v>
      </c>
      <c r="B735">
        <v>22.914899999999999</v>
      </c>
    </row>
    <row r="736" spans="1:2" x14ac:dyDescent="0.25">
      <c r="A736" s="8">
        <v>44196</v>
      </c>
      <c r="B736">
        <v>23.369</v>
      </c>
    </row>
    <row r="737" spans="1:2" x14ac:dyDescent="0.25">
      <c r="A737" s="8">
        <v>44225</v>
      </c>
      <c r="B737">
        <v>29.008199999999999</v>
      </c>
    </row>
    <row r="738" spans="1:2" x14ac:dyDescent="0.25">
      <c r="A738" s="8">
        <v>44253</v>
      </c>
      <c r="B738">
        <v>26.863199999999999</v>
      </c>
    </row>
    <row r="739" spans="1:2" x14ac:dyDescent="0.25">
      <c r="A739" s="8">
        <v>44286</v>
      </c>
      <c r="B739">
        <v>17.9742</v>
      </c>
    </row>
    <row r="740" spans="1:2" x14ac:dyDescent="0.25">
      <c r="A740" s="8">
        <v>44316</v>
      </c>
      <c r="B740">
        <v>20.6309</v>
      </c>
    </row>
    <row r="741" spans="1:2" x14ac:dyDescent="0.25">
      <c r="A741" s="8">
        <v>44347</v>
      </c>
      <c r="B741">
        <v>19.098099999999999</v>
      </c>
    </row>
    <row r="742" spans="1:2" x14ac:dyDescent="0.25">
      <c r="A742" s="8">
        <v>44377</v>
      </c>
      <c r="B742">
        <v>18.184899999999999</v>
      </c>
    </row>
    <row r="743" spans="1:2" x14ac:dyDescent="0.25">
      <c r="A743" s="8">
        <v>44407</v>
      </c>
      <c r="B743">
        <v>20.9392</v>
      </c>
    </row>
    <row r="744" spans="1:2" x14ac:dyDescent="0.25">
      <c r="A744" s="8">
        <v>44439</v>
      </c>
      <c r="B744">
        <v>18.7654</v>
      </c>
    </row>
    <row r="745" spans="1:2" x14ac:dyDescent="0.25">
      <c r="A745" s="8">
        <v>44469</v>
      </c>
      <c r="B745">
        <v>23.242799999999999</v>
      </c>
    </row>
    <row r="746" spans="1:2" x14ac:dyDescent="0.25">
      <c r="A746" s="8">
        <v>44498</v>
      </c>
      <c r="B746">
        <v>17.616399999999999</v>
      </c>
    </row>
    <row r="747" spans="1:2" x14ac:dyDescent="0.25">
      <c r="A747" s="8">
        <v>44530</v>
      </c>
      <c r="B747">
        <v>30.067900000000002</v>
      </c>
    </row>
    <row r="748" spans="1:2" x14ac:dyDescent="0.25">
      <c r="A748" s="8">
        <v>44561</v>
      </c>
      <c r="B748">
        <v>19.267700000000001</v>
      </c>
    </row>
    <row r="749" spans="1:2" x14ac:dyDescent="0.25">
      <c r="A749" s="8">
        <v>44592</v>
      </c>
      <c r="B749">
        <v>27.008400000000002</v>
      </c>
    </row>
    <row r="750" spans="1:2" x14ac:dyDescent="0.25">
      <c r="A750" s="8">
        <v>44620</v>
      </c>
      <c r="B750">
        <v>35.292999999999999</v>
      </c>
    </row>
    <row r="751" spans="1:2" x14ac:dyDescent="0.25">
      <c r="A751" s="8">
        <v>44651</v>
      </c>
      <c r="B751">
        <v>28.989799999999999</v>
      </c>
    </row>
    <row r="752" spans="1:2" x14ac:dyDescent="0.25">
      <c r="A752" s="8">
        <v>44680</v>
      </c>
      <c r="B752">
        <v>30.773199999999999</v>
      </c>
    </row>
    <row r="753" spans="1:2" x14ac:dyDescent="0.25">
      <c r="A753" s="8">
        <v>44712</v>
      </c>
      <c r="B753">
        <v>25.248999999999999</v>
      </c>
    </row>
    <row r="754" spans="1:2" x14ac:dyDescent="0.25">
      <c r="A754" s="8">
        <v>44742</v>
      </c>
      <c r="B754">
        <v>29.7804</v>
      </c>
    </row>
    <row r="755" spans="1:2" x14ac:dyDescent="0.25">
      <c r="A755" s="8">
        <v>44771</v>
      </c>
      <c r="B755">
        <v>22.3049</v>
      </c>
    </row>
    <row r="756" spans="1:2" x14ac:dyDescent="0.25">
      <c r="A756" s="8">
        <v>44804</v>
      </c>
      <c r="B756">
        <v>27.9451</v>
      </c>
    </row>
    <row r="757" spans="1:2" x14ac:dyDescent="0.25">
      <c r="A757" s="8">
        <v>44834</v>
      </c>
      <c r="B757">
        <v>30.709199999999999</v>
      </c>
    </row>
    <row r="758" spans="1:2" x14ac:dyDescent="0.25">
      <c r="A758" s="8">
        <v>44865</v>
      </c>
      <c r="B758">
        <v>24.830500000000001</v>
      </c>
    </row>
    <row r="759" spans="1:2" x14ac:dyDescent="0.25">
      <c r="A759" s="8">
        <v>44895</v>
      </c>
      <c r="B759">
        <v>21.2104</v>
      </c>
    </row>
    <row r="760" spans="1:2" x14ac:dyDescent="0.25">
      <c r="A760" s="8">
        <v>44925</v>
      </c>
      <c r="B760">
        <v>20.886199999999999</v>
      </c>
    </row>
    <row r="761" spans="1:2" x14ac:dyDescent="0.25">
      <c r="A761" s="8">
        <v>44957</v>
      </c>
      <c r="B761">
        <v>18.568300000000001</v>
      </c>
    </row>
    <row r="762" spans="1:2" x14ac:dyDescent="0.25">
      <c r="A762" s="8">
        <v>44985</v>
      </c>
      <c r="B762">
        <v>19.500699999999998</v>
      </c>
    </row>
    <row r="763" spans="1:2" x14ac:dyDescent="0.25">
      <c r="A763" s="8">
        <v>45016</v>
      </c>
      <c r="B763">
        <v>19.424600000000002</v>
      </c>
    </row>
    <row r="764" spans="1:2" x14ac:dyDescent="0.25">
      <c r="A764" s="8">
        <v>45044</v>
      </c>
      <c r="B764">
        <v>17.430399999999999</v>
      </c>
    </row>
    <row r="765" spans="1:2" x14ac:dyDescent="0.25">
      <c r="A765" s="8">
        <v>45077</v>
      </c>
      <c r="B765">
        <v>19.9817</v>
      </c>
    </row>
    <row r="766" spans="1:2" x14ac:dyDescent="0.25">
      <c r="A766" s="8">
        <v>45107</v>
      </c>
      <c r="B766">
        <v>13.613899999999999</v>
      </c>
    </row>
    <row r="767" spans="1:2" x14ac:dyDescent="0.25">
      <c r="A767" s="8">
        <v>45138</v>
      </c>
      <c r="B767">
        <v>16.226400000000002</v>
      </c>
    </row>
    <row r="768" spans="1:2" x14ac:dyDescent="0.25">
      <c r="A768" s="8">
        <v>45169</v>
      </c>
      <c r="B768">
        <v>16.063800000000001</v>
      </c>
    </row>
    <row r="769" spans="1:2" x14ac:dyDescent="0.25">
      <c r="A769" s="8">
        <v>45198</v>
      </c>
      <c r="B769">
        <v>17.470400000000001</v>
      </c>
    </row>
    <row r="770" spans="1:2" x14ac:dyDescent="0.25">
      <c r="A770" s="8">
        <v>45230</v>
      </c>
      <c r="B770">
        <v>19.707599999999999</v>
      </c>
    </row>
    <row r="771" spans="1:2" x14ac:dyDescent="0.25">
      <c r="A771" s="8">
        <v>45260</v>
      </c>
      <c r="B771">
        <v>13.815</v>
      </c>
    </row>
    <row r="772" spans="1:2" x14ac:dyDescent="0.25">
      <c r="A772" s="8">
        <v>45289</v>
      </c>
      <c r="B772">
        <v>13.5747</v>
      </c>
    </row>
    <row r="773" spans="1:2" x14ac:dyDescent="0.25">
      <c r="A773" s="8">
        <v>45322</v>
      </c>
      <c r="B773">
        <v>14.8188</v>
      </c>
    </row>
    <row r="774" spans="1:2" x14ac:dyDescent="0.25">
      <c r="A774" s="8">
        <v>45351</v>
      </c>
      <c r="B774">
        <v>13.783200000000001</v>
      </c>
    </row>
    <row r="775" spans="1:2" x14ac:dyDescent="0.25">
      <c r="A775" s="8">
        <v>45380</v>
      </c>
      <c r="B775">
        <v>13.3781</v>
      </c>
    </row>
    <row r="776" spans="1:2" x14ac:dyDescent="0.25">
      <c r="A776" s="8">
        <v>45412</v>
      </c>
      <c r="B776">
        <v>15.565200000000001</v>
      </c>
    </row>
    <row r="777" spans="1:2" x14ac:dyDescent="0.25">
      <c r="A777" s="8">
        <v>45443</v>
      </c>
      <c r="B777">
        <v>14.138400000000001</v>
      </c>
    </row>
    <row r="778" spans="1:2" x14ac:dyDescent="0.25">
      <c r="A778" s="8">
        <v>45471</v>
      </c>
      <c r="B778">
        <v>18.296900000000001</v>
      </c>
    </row>
    <row r="779" spans="1:2" x14ac:dyDescent="0.25">
      <c r="A779" s="8">
        <v>45504</v>
      </c>
      <c r="B779">
        <v>15.743399999999999</v>
      </c>
    </row>
    <row r="780" spans="1:2" x14ac:dyDescent="0.25">
      <c r="A780" s="8">
        <v>45534</v>
      </c>
      <c r="B780">
        <v>15.269500000000001</v>
      </c>
    </row>
    <row r="781" spans="1:2" x14ac:dyDescent="0.25">
      <c r="A781" s="8">
        <v>45565</v>
      </c>
      <c r="B781">
        <v>18.064699999999998</v>
      </c>
    </row>
    <row r="782" spans="1:2" x14ac:dyDescent="0.25">
      <c r="A782" s="8">
        <v>45596</v>
      </c>
      <c r="B782">
        <v>21.7302</v>
      </c>
    </row>
    <row r="783" spans="1:2" x14ac:dyDescent="0.25">
      <c r="A783" s="8">
        <v>45625</v>
      </c>
      <c r="B783">
        <v>16.960699999999999</v>
      </c>
    </row>
    <row r="784" spans="1:2" x14ac:dyDescent="0.25">
      <c r="A784" s="8">
        <v>45657</v>
      </c>
      <c r="B784">
        <v>17.003</v>
      </c>
    </row>
    <row r="785" spans="1:2" x14ac:dyDescent="0.25">
      <c r="A785" s="8">
        <v>45688</v>
      </c>
      <c r="B785">
        <v>15.3582</v>
      </c>
    </row>
    <row r="786" spans="1:2" x14ac:dyDescent="0.25">
      <c r="A786" s="8">
        <v>45716</v>
      </c>
      <c r="B786">
        <v>18.6266</v>
      </c>
    </row>
    <row r="787" spans="1:2" x14ac:dyDescent="0.25">
      <c r="A787" s="8">
        <v>45747</v>
      </c>
      <c r="B787">
        <v>22.145199999999999</v>
      </c>
    </row>
    <row r="788" spans="1:2" x14ac:dyDescent="0.25">
      <c r="A788" s="8">
        <v>45777</v>
      </c>
      <c r="B788">
        <v>22.471399999999999</v>
      </c>
    </row>
    <row r="789" spans="1:2" x14ac:dyDescent="0.25">
      <c r="A789" s="8">
        <v>45807</v>
      </c>
      <c r="B789">
        <v>19.154900000000001</v>
      </c>
    </row>
    <row r="790" spans="1:2" x14ac:dyDescent="0.25">
      <c r="A790" s="8">
        <v>45838</v>
      </c>
      <c r="B790">
        <v>17.668600000000001</v>
      </c>
    </row>
    <row r="791" spans="1:2" x14ac:dyDescent="0.25">
      <c r="A791" s="8">
        <v>45869</v>
      </c>
      <c r="B791">
        <v>17.5426</v>
      </c>
    </row>
    <row r="792" spans="1:2" x14ac:dyDescent="0.25">
      <c r="A792" s="8">
        <v>45898</v>
      </c>
      <c r="B792">
        <v>17.564599999999999</v>
      </c>
    </row>
    <row r="793" spans="1:2" x14ac:dyDescent="0.25">
      <c r="A793" s="8">
        <v>45930</v>
      </c>
      <c r="B793">
        <v>16.680800000000001</v>
      </c>
    </row>
    <row r="794" spans="1:2" x14ac:dyDescent="0.25">
      <c r="A794" s="8">
        <v>45961</v>
      </c>
      <c r="B794">
        <v>17.814800000000002</v>
      </c>
    </row>
    <row r="795" spans="1:2" x14ac:dyDescent="0.25">
      <c r="A795" s="8">
        <v>45989</v>
      </c>
      <c r="B795">
        <v>17.117799999999999</v>
      </c>
    </row>
    <row r="796" spans="1:2" x14ac:dyDescent="0.25">
      <c r="A796" s="8">
        <v>46022</v>
      </c>
      <c r="B796">
        <v>14.7136</v>
      </c>
    </row>
    <row r="797" spans="1:2" x14ac:dyDescent="0.25">
      <c r="A797" s="8">
        <v>46052</v>
      </c>
      <c r="B797">
        <v>19.986799999999999</v>
      </c>
    </row>
    <row r="811" spans="1:4" x14ac:dyDescent="0.25">
      <c r="A811" s="6" t="s">
        <v>365</v>
      </c>
      <c r="B811" s="6" t="s">
        <v>366</v>
      </c>
      <c r="C811" s="6" t="s">
        <v>367</v>
      </c>
      <c r="D811" s="6" t="s">
        <v>54</v>
      </c>
    </row>
    <row r="812" spans="1:4" x14ac:dyDescent="0.25">
      <c r="A812" s="8">
        <f ca="1">_xll.BDH("GVZ Index","PX_LAST","02/01/2016",TODAY(),"Per=M","cols=2;rows=121")</f>
        <v>42398</v>
      </c>
      <c r="B812">
        <v>15.73</v>
      </c>
    </row>
    <row r="813" spans="1:4" x14ac:dyDescent="0.25">
      <c r="A813" s="8">
        <v>42429</v>
      </c>
      <c r="B813">
        <v>22.59</v>
      </c>
    </row>
    <row r="814" spans="1:4" x14ac:dyDescent="0.25">
      <c r="A814" s="8">
        <v>42460</v>
      </c>
      <c r="B814">
        <v>18.45</v>
      </c>
    </row>
    <row r="815" spans="1:4" x14ac:dyDescent="0.25">
      <c r="A815" s="8">
        <v>42489</v>
      </c>
      <c r="B815">
        <v>20.23</v>
      </c>
    </row>
    <row r="816" spans="1:4" x14ac:dyDescent="0.25">
      <c r="A816" s="8">
        <v>42521</v>
      </c>
      <c r="B816">
        <v>15.83</v>
      </c>
    </row>
    <row r="817" spans="1:2" x14ac:dyDescent="0.25">
      <c r="A817" s="8">
        <v>42551</v>
      </c>
      <c r="B817">
        <v>18.5</v>
      </c>
    </row>
    <row r="818" spans="1:2" x14ac:dyDescent="0.25">
      <c r="A818" s="8">
        <v>42580</v>
      </c>
      <c r="B818">
        <v>15.8</v>
      </c>
    </row>
    <row r="819" spans="1:2" x14ac:dyDescent="0.25">
      <c r="A819" s="8">
        <v>42613</v>
      </c>
      <c r="B819">
        <v>16.010000000000002</v>
      </c>
    </row>
    <row r="820" spans="1:2" x14ac:dyDescent="0.25">
      <c r="A820" s="8">
        <v>42643</v>
      </c>
      <c r="B820">
        <v>13.88</v>
      </c>
    </row>
    <row r="821" spans="1:2" x14ac:dyDescent="0.25">
      <c r="A821" s="8">
        <v>42674</v>
      </c>
      <c r="B821">
        <v>18.13</v>
      </c>
    </row>
    <row r="822" spans="1:2" x14ac:dyDescent="0.25">
      <c r="A822" s="8">
        <v>42704</v>
      </c>
      <c r="B822">
        <v>19.18</v>
      </c>
    </row>
    <row r="823" spans="1:2" x14ac:dyDescent="0.25">
      <c r="A823" s="8">
        <v>42734</v>
      </c>
      <c r="B823">
        <v>16.23</v>
      </c>
    </row>
    <row r="824" spans="1:2" x14ac:dyDescent="0.25">
      <c r="A824" s="8">
        <v>42766</v>
      </c>
      <c r="B824">
        <v>15.27</v>
      </c>
    </row>
    <row r="825" spans="1:2" x14ac:dyDescent="0.25">
      <c r="A825" s="8">
        <v>42794</v>
      </c>
      <c r="B825">
        <v>14.3</v>
      </c>
    </row>
    <row r="826" spans="1:2" x14ac:dyDescent="0.25">
      <c r="A826" s="8">
        <v>42825</v>
      </c>
      <c r="B826">
        <v>12.41</v>
      </c>
    </row>
    <row r="827" spans="1:2" x14ac:dyDescent="0.25">
      <c r="A827" s="8">
        <v>42853</v>
      </c>
      <c r="B827">
        <v>11.6</v>
      </c>
    </row>
    <row r="828" spans="1:2" x14ac:dyDescent="0.25">
      <c r="A828" s="8">
        <v>42886</v>
      </c>
      <c r="B828">
        <v>11.82</v>
      </c>
    </row>
    <row r="829" spans="1:2" x14ac:dyDescent="0.25">
      <c r="A829" s="8">
        <v>42916</v>
      </c>
      <c r="B829">
        <v>11</v>
      </c>
    </row>
    <row r="830" spans="1:2" x14ac:dyDescent="0.25">
      <c r="A830" s="8">
        <v>42947</v>
      </c>
      <c r="B830">
        <v>11.61</v>
      </c>
    </row>
    <row r="831" spans="1:2" x14ac:dyDescent="0.25">
      <c r="A831" s="8">
        <v>42978</v>
      </c>
      <c r="B831">
        <v>13.26</v>
      </c>
    </row>
    <row r="832" spans="1:2" x14ac:dyDescent="0.25">
      <c r="A832" s="8">
        <v>43007</v>
      </c>
      <c r="B832">
        <v>11.77</v>
      </c>
    </row>
    <row r="833" spans="1:2" x14ac:dyDescent="0.25">
      <c r="A833" s="8">
        <v>43039</v>
      </c>
      <c r="B833">
        <v>11.81</v>
      </c>
    </row>
    <row r="834" spans="1:2" x14ac:dyDescent="0.25">
      <c r="A834" s="8">
        <v>43069</v>
      </c>
      <c r="B834">
        <v>11.79</v>
      </c>
    </row>
    <row r="835" spans="1:2" x14ac:dyDescent="0.25">
      <c r="A835" s="8">
        <v>43098</v>
      </c>
      <c r="B835">
        <v>10.96</v>
      </c>
    </row>
    <row r="836" spans="1:2" x14ac:dyDescent="0.25">
      <c r="A836" s="8">
        <v>43131</v>
      </c>
      <c r="B836">
        <v>12.97</v>
      </c>
    </row>
    <row r="837" spans="1:2" x14ac:dyDescent="0.25">
      <c r="A837" s="8">
        <v>43159</v>
      </c>
      <c r="B837">
        <v>11.74</v>
      </c>
    </row>
    <row r="838" spans="1:2" x14ac:dyDescent="0.25">
      <c r="A838" s="8">
        <v>43189</v>
      </c>
      <c r="B838">
        <v>11.06</v>
      </c>
    </row>
    <row r="839" spans="1:2" x14ac:dyDescent="0.25">
      <c r="A839" s="8">
        <v>43220</v>
      </c>
      <c r="B839">
        <v>11.15</v>
      </c>
    </row>
    <row r="840" spans="1:2" x14ac:dyDescent="0.25">
      <c r="A840" s="8">
        <v>43251</v>
      </c>
      <c r="B840">
        <v>10.92</v>
      </c>
    </row>
    <row r="841" spans="1:2" x14ac:dyDescent="0.25">
      <c r="A841" s="8">
        <v>43280</v>
      </c>
      <c r="B841">
        <v>10.75</v>
      </c>
    </row>
    <row r="842" spans="1:2" x14ac:dyDescent="0.25">
      <c r="A842" s="8">
        <v>43312</v>
      </c>
      <c r="B842">
        <v>11.21</v>
      </c>
    </row>
    <row r="843" spans="1:2" x14ac:dyDescent="0.25">
      <c r="A843" s="8">
        <v>43343</v>
      </c>
      <c r="B843">
        <v>10.96</v>
      </c>
    </row>
    <row r="844" spans="1:2" x14ac:dyDescent="0.25">
      <c r="A844" s="8">
        <v>43371</v>
      </c>
      <c r="B844">
        <v>10.74</v>
      </c>
    </row>
    <row r="845" spans="1:2" x14ac:dyDescent="0.25">
      <c r="A845" s="8">
        <v>43404</v>
      </c>
      <c r="B845">
        <v>12.08</v>
      </c>
    </row>
    <row r="846" spans="1:2" x14ac:dyDescent="0.25">
      <c r="A846" s="8">
        <v>43434</v>
      </c>
      <c r="B846">
        <v>11.26</v>
      </c>
    </row>
    <row r="847" spans="1:2" x14ac:dyDescent="0.25">
      <c r="A847" s="8">
        <v>43465</v>
      </c>
      <c r="B847">
        <v>13.48</v>
      </c>
    </row>
    <row r="848" spans="1:2" x14ac:dyDescent="0.25">
      <c r="A848" s="8">
        <v>43496</v>
      </c>
      <c r="B848">
        <v>10.74</v>
      </c>
    </row>
    <row r="849" spans="1:2" x14ac:dyDescent="0.25">
      <c r="A849" s="8">
        <v>43524</v>
      </c>
      <c r="B849">
        <v>9.52</v>
      </c>
    </row>
    <row r="850" spans="1:2" x14ac:dyDescent="0.25">
      <c r="A850" s="8">
        <v>43553</v>
      </c>
      <c r="B850">
        <v>9.94</v>
      </c>
    </row>
    <row r="851" spans="1:2" x14ac:dyDescent="0.25">
      <c r="A851" s="8">
        <v>43585</v>
      </c>
      <c r="B851">
        <v>9.32</v>
      </c>
    </row>
    <row r="852" spans="1:2" x14ac:dyDescent="0.25">
      <c r="A852" s="8">
        <v>43616</v>
      </c>
      <c r="B852">
        <v>10.33</v>
      </c>
    </row>
    <row r="853" spans="1:2" x14ac:dyDescent="0.25">
      <c r="A853" s="8">
        <v>43644</v>
      </c>
      <c r="B853">
        <v>15.99</v>
      </c>
    </row>
    <row r="854" spans="1:2" x14ac:dyDescent="0.25">
      <c r="A854" s="8">
        <v>43677</v>
      </c>
      <c r="B854">
        <v>13.21</v>
      </c>
    </row>
    <row r="855" spans="1:2" x14ac:dyDescent="0.25">
      <c r="A855" s="8">
        <v>43707</v>
      </c>
      <c r="B855">
        <v>15.45</v>
      </c>
    </row>
    <row r="856" spans="1:2" x14ac:dyDescent="0.25">
      <c r="A856" s="8">
        <v>43738</v>
      </c>
      <c r="B856">
        <v>15.37</v>
      </c>
    </row>
    <row r="857" spans="1:2" x14ac:dyDescent="0.25">
      <c r="A857" s="8">
        <v>43769</v>
      </c>
      <c r="B857">
        <v>13.39</v>
      </c>
    </row>
    <row r="858" spans="1:2" x14ac:dyDescent="0.25">
      <c r="A858" s="8">
        <v>43798</v>
      </c>
      <c r="B858">
        <v>10.71</v>
      </c>
    </row>
    <row r="859" spans="1:2" x14ac:dyDescent="0.25">
      <c r="A859" s="8">
        <v>43830</v>
      </c>
      <c r="B859">
        <v>12.63</v>
      </c>
    </row>
    <row r="860" spans="1:2" x14ac:dyDescent="0.25">
      <c r="A860" s="8">
        <v>43861</v>
      </c>
      <c r="B860">
        <v>13.5</v>
      </c>
    </row>
    <row r="861" spans="1:2" x14ac:dyDescent="0.25">
      <c r="A861" s="8">
        <v>43889</v>
      </c>
      <c r="B861">
        <v>21.27</v>
      </c>
    </row>
    <row r="862" spans="1:2" x14ac:dyDescent="0.25">
      <c r="A862" s="8">
        <v>43921</v>
      </c>
      <c r="B862">
        <v>29.19</v>
      </c>
    </row>
    <row r="863" spans="1:2" x14ac:dyDescent="0.25">
      <c r="A863" s="8">
        <v>43951</v>
      </c>
      <c r="B863">
        <v>24.24</v>
      </c>
    </row>
    <row r="864" spans="1:2" x14ac:dyDescent="0.25">
      <c r="A864" s="8">
        <v>43980</v>
      </c>
      <c r="B864">
        <v>18.149999999999999</v>
      </c>
    </row>
    <row r="865" spans="1:2" x14ac:dyDescent="0.25">
      <c r="A865" s="8">
        <v>44012</v>
      </c>
      <c r="B865">
        <v>19.649999999999999</v>
      </c>
    </row>
    <row r="866" spans="1:2" x14ac:dyDescent="0.25">
      <c r="A866" s="8">
        <v>44043</v>
      </c>
      <c r="B866">
        <v>24.46</v>
      </c>
    </row>
    <row r="867" spans="1:2" x14ac:dyDescent="0.25">
      <c r="A867" s="8">
        <v>44074</v>
      </c>
      <c r="B867">
        <v>24.32</v>
      </c>
    </row>
    <row r="868" spans="1:2" x14ac:dyDescent="0.25">
      <c r="A868" s="8">
        <v>44104</v>
      </c>
      <c r="B868">
        <v>22.07</v>
      </c>
    </row>
    <row r="869" spans="1:2" x14ac:dyDescent="0.25">
      <c r="A869" s="8">
        <v>44134</v>
      </c>
      <c r="B869">
        <v>23.26</v>
      </c>
    </row>
    <row r="870" spans="1:2" x14ac:dyDescent="0.25">
      <c r="A870" s="8">
        <v>44165</v>
      </c>
      <c r="B870">
        <v>19.690000000000001</v>
      </c>
    </row>
    <row r="871" spans="1:2" x14ac:dyDescent="0.25">
      <c r="A871" s="8">
        <v>44196</v>
      </c>
      <c r="B871">
        <v>20.79</v>
      </c>
    </row>
    <row r="872" spans="1:2" x14ac:dyDescent="0.25">
      <c r="A872" s="8">
        <v>44225</v>
      </c>
      <c r="B872">
        <v>20.64</v>
      </c>
    </row>
    <row r="873" spans="1:2" x14ac:dyDescent="0.25">
      <c r="A873" s="8">
        <v>44253</v>
      </c>
      <c r="B873">
        <v>21.08</v>
      </c>
    </row>
    <row r="874" spans="1:2" x14ac:dyDescent="0.25">
      <c r="A874" s="8">
        <v>44286</v>
      </c>
      <c r="B874">
        <v>17.07</v>
      </c>
    </row>
    <row r="875" spans="1:2" x14ac:dyDescent="0.25">
      <c r="A875" s="8">
        <v>44316</v>
      </c>
      <c r="B875">
        <v>14.58</v>
      </c>
    </row>
    <row r="876" spans="1:2" x14ac:dyDescent="0.25">
      <c r="A876" s="8">
        <v>44347</v>
      </c>
      <c r="B876">
        <v>16.079999999999998</v>
      </c>
    </row>
    <row r="877" spans="1:2" x14ac:dyDescent="0.25">
      <c r="A877" s="8">
        <v>44377</v>
      </c>
      <c r="B877">
        <v>15.97</v>
      </c>
    </row>
    <row r="878" spans="1:2" x14ac:dyDescent="0.25">
      <c r="A878" s="8">
        <v>44407</v>
      </c>
      <c r="B878">
        <v>15.09</v>
      </c>
    </row>
    <row r="879" spans="1:2" x14ac:dyDescent="0.25">
      <c r="A879" s="8">
        <v>44439</v>
      </c>
      <c r="B879">
        <v>15.47</v>
      </c>
    </row>
    <row r="880" spans="1:2" x14ac:dyDescent="0.25">
      <c r="A880" s="8">
        <v>44469</v>
      </c>
      <c r="B880">
        <v>17.16</v>
      </c>
    </row>
    <row r="881" spans="1:2" x14ac:dyDescent="0.25">
      <c r="A881" s="8">
        <v>44498</v>
      </c>
      <c r="B881">
        <v>16.07</v>
      </c>
    </row>
    <row r="882" spans="1:2" x14ac:dyDescent="0.25">
      <c r="A882" s="8">
        <v>44530</v>
      </c>
      <c r="B882">
        <v>17.989999999999998</v>
      </c>
    </row>
    <row r="883" spans="1:2" x14ac:dyDescent="0.25">
      <c r="A883" s="8">
        <v>44561</v>
      </c>
      <c r="B883">
        <v>14.61</v>
      </c>
    </row>
    <row r="884" spans="1:2" x14ac:dyDescent="0.25">
      <c r="A884" s="8">
        <v>44592</v>
      </c>
      <c r="B884">
        <v>16.7</v>
      </c>
    </row>
    <row r="885" spans="1:2" x14ac:dyDescent="0.25">
      <c r="A885" s="8">
        <v>44620</v>
      </c>
      <c r="B885">
        <v>20.97</v>
      </c>
    </row>
    <row r="886" spans="1:2" x14ac:dyDescent="0.25">
      <c r="A886" s="8">
        <v>44651</v>
      </c>
      <c r="B886">
        <v>20.25</v>
      </c>
    </row>
    <row r="887" spans="1:2" x14ac:dyDescent="0.25">
      <c r="A887" s="8">
        <v>44680</v>
      </c>
      <c r="B887">
        <v>19.829999999999998</v>
      </c>
    </row>
    <row r="888" spans="1:2" x14ac:dyDescent="0.25">
      <c r="A888" s="8">
        <v>44712</v>
      </c>
      <c r="B888">
        <v>17.190000000000001</v>
      </c>
    </row>
    <row r="889" spans="1:2" x14ac:dyDescent="0.25">
      <c r="A889" s="8">
        <v>44742</v>
      </c>
      <c r="B889">
        <v>19.61</v>
      </c>
    </row>
    <row r="890" spans="1:2" x14ac:dyDescent="0.25">
      <c r="A890" s="8">
        <v>44771</v>
      </c>
      <c r="B890">
        <v>16.489999999999998</v>
      </c>
    </row>
    <row r="891" spans="1:2" x14ac:dyDescent="0.25">
      <c r="A891" s="8">
        <v>44804</v>
      </c>
      <c r="B891">
        <v>17.02</v>
      </c>
    </row>
    <row r="892" spans="1:2" x14ac:dyDescent="0.25">
      <c r="A892" s="8">
        <v>44834</v>
      </c>
      <c r="B892">
        <v>19.52</v>
      </c>
    </row>
    <row r="893" spans="1:2" x14ac:dyDescent="0.25">
      <c r="A893" s="8">
        <v>44865</v>
      </c>
      <c r="B893">
        <v>18.27</v>
      </c>
    </row>
    <row r="894" spans="1:2" x14ac:dyDescent="0.25">
      <c r="A894" s="8">
        <v>44895</v>
      </c>
      <c r="B894">
        <v>15.45</v>
      </c>
    </row>
    <row r="895" spans="1:2" x14ac:dyDescent="0.25">
      <c r="A895" s="8">
        <v>44925</v>
      </c>
      <c r="B895">
        <v>16.25</v>
      </c>
    </row>
    <row r="896" spans="1:2" x14ac:dyDescent="0.25">
      <c r="A896" s="8">
        <v>44957</v>
      </c>
      <c r="B896">
        <v>15.75</v>
      </c>
    </row>
    <row r="897" spans="1:2" x14ac:dyDescent="0.25">
      <c r="A897" s="8">
        <v>44985</v>
      </c>
      <c r="B897">
        <v>14.17</v>
      </c>
    </row>
    <row r="898" spans="1:2" x14ac:dyDescent="0.25">
      <c r="A898" s="8">
        <v>45016</v>
      </c>
      <c r="B898">
        <v>17.309999999999999</v>
      </c>
    </row>
    <row r="899" spans="1:2" x14ac:dyDescent="0.25">
      <c r="A899" s="8">
        <v>45044</v>
      </c>
      <c r="B899">
        <v>16.47</v>
      </c>
    </row>
    <row r="900" spans="1:2" x14ac:dyDescent="0.25">
      <c r="A900" s="8">
        <v>45077</v>
      </c>
      <c r="B900">
        <v>15.63</v>
      </c>
    </row>
    <row r="901" spans="1:2" x14ac:dyDescent="0.25">
      <c r="A901" s="8">
        <v>45107</v>
      </c>
      <c r="B901">
        <v>12.04</v>
      </c>
    </row>
    <row r="902" spans="1:2" x14ac:dyDescent="0.25">
      <c r="A902" s="8">
        <v>45138</v>
      </c>
      <c r="B902">
        <v>12.16</v>
      </c>
    </row>
    <row r="903" spans="1:2" x14ac:dyDescent="0.25">
      <c r="A903" s="8">
        <v>45169</v>
      </c>
      <c r="B903">
        <v>11.78</v>
      </c>
    </row>
    <row r="904" spans="1:2" x14ac:dyDescent="0.25">
      <c r="A904" s="8">
        <v>45198</v>
      </c>
      <c r="B904">
        <v>12.94</v>
      </c>
    </row>
    <row r="905" spans="1:2" x14ac:dyDescent="0.25">
      <c r="A905" s="8">
        <v>45230</v>
      </c>
      <c r="B905">
        <v>16.23</v>
      </c>
    </row>
    <row r="906" spans="1:2" x14ac:dyDescent="0.25">
      <c r="A906" s="8">
        <v>45260</v>
      </c>
      <c r="B906">
        <v>14.22</v>
      </c>
    </row>
    <row r="907" spans="1:2" x14ac:dyDescent="0.25">
      <c r="A907" s="8">
        <v>45289</v>
      </c>
      <c r="B907">
        <v>15.85</v>
      </c>
    </row>
    <row r="908" spans="1:2" x14ac:dyDescent="0.25">
      <c r="A908" s="8">
        <v>45322</v>
      </c>
      <c r="B908">
        <v>13.16</v>
      </c>
    </row>
    <row r="909" spans="1:2" x14ac:dyDescent="0.25">
      <c r="A909" s="8">
        <v>45351</v>
      </c>
      <c r="B909">
        <v>11.16</v>
      </c>
    </row>
    <row r="910" spans="1:2" x14ac:dyDescent="0.25">
      <c r="A910" s="8">
        <v>45380</v>
      </c>
      <c r="B910">
        <v>15.44</v>
      </c>
    </row>
    <row r="911" spans="1:2" x14ac:dyDescent="0.25">
      <c r="A911" s="8">
        <v>45412</v>
      </c>
      <c r="B911">
        <v>16.54</v>
      </c>
    </row>
    <row r="912" spans="1:2" x14ac:dyDescent="0.25">
      <c r="A912" s="8">
        <v>45443</v>
      </c>
      <c r="B912">
        <v>15.26</v>
      </c>
    </row>
    <row r="913" spans="1:2" x14ac:dyDescent="0.25">
      <c r="A913" s="8">
        <v>45471</v>
      </c>
      <c r="B913">
        <v>14.72</v>
      </c>
    </row>
    <row r="914" spans="1:2" x14ac:dyDescent="0.25">
      <c r="A914" s="8">
        <v>45504</v>
      </c>
      <c r="B914">
        <v>17.88</v>
      </c>
    </row>
    <row r="915" spans="1:2" x14ac:dyDescent="0.25">
      <c r="A915" s="8">
        <v>45534</v>
      </c>
      <c r="B915">
        <v>16.399999999999999</v>
      </c>
    </row>
    <row r="916" spans="1:2" x14ac:dyDescent="0.25">
      <c r="A916" s="8">
        <v>45565</v>
      </c>
      <c r="B916">
        <v>18.079999999999998</v>
      </c>
    </row>
    <row r="917" spans="1:2" x14ac:dyDescent="0.25">
      <c r="A917" s="8">
        <v>45596</v>
      </c>
      <c r="B917">
        <v>19.46</v>
      </c>
    </row>
    <row r="918" spans="1:2" x14ac:dyDescent="0.25">
      <c r="A918" s="8">
        <v>45625</v>
      </c>
      <c r="B918">
        <v>16.37</v>
      </c>
    </row>
    <row r="919" spans="1:2" x14ac:dyDescent="0.25">
      <c r="A919" s="8">
        <v>45657</v>
      </c>
      <c r="B919">
        <v>14.62</v>
      </c>
    </row>
    <row r="920" spans="1:2" x14ac:dyDescent="0.25">
      <c r="A920" s="8">
        <v>45688</v>
      </c>
      <c r="B920">
        <v>15.82</v>
      </c>
    </row>
    <row r="921" spans="1:2" x14ac:dyDescent="0.25">
      <c r="A921" s="8">
        <v>45716</v>
      </c>
      <c r="B921">
        <v>15.82</v>
      </c>
    </row>
    <row r="922" spans="1:2" x14ac:dyDescent="0.25">
      <c r="A922" s="8">
        <v>45747</v>
      </c>
      <c r="B922">
        <v>17.84</v>
      </c>
    </row>
    <row r="923" spans="1:2" x14ac:dyDescent="0.25">
      <c r="A923" s="8">
        <v>45777</v>
      </c>
      <c r="B923">
        <v>21.52</v>
      </c>
    </row>
    <row r="924" spans="1:2" x14ac:dyDescent="0.25">
      <c r="A924" s="8">
        <v>45807</v>
      </c>
      <c r="B924">
        <v>19.100000000000001</v>
      </c>
    </row>
    <row r="925" spans="1:2" x14ac:dyDescent="0.25">
      <c r="A925" s="8">
        <v>45838</v>
      </c>
      <c r="B925">
        <v>17.309999999999999</v>
      </c>
    </row>
    <row r="926" spans="1:2" x14ac:dyDescent="0.25">
      <c r="A926" s="8">
        <v>45869</v>
      </c>
      <c r="B926">
        <v>16.04</v>
      </c>
    </row>
    <row r="927" spans="1:2" x14ac:dyDescent="0.25">
      <c r="A927" s="8">
        <v>45898</v>
      </c>
      <c r="B927">
        <v>17.39</v>
      </c>
    </row>
    <row r="928" spans="1:2" x14ac:dyDescent="0.25">
      <c r="A928" s="8">
        <v>45930</v>
      </c>
      <c r="B928">
        <v>19.95</v>
      </c>
    </row>
    <row r="929" spans="1:2" x14ac:dyDescent="0.25">
      <c r="A929" s="8">
        <v>45961</v>
      </c>
      <c r="B929">
        <v>22.66</v>
      </c>
    </row>
    <row r="930" spans="1:2" x14ac:dyDescent="0.25">
      <c r="A930" s="8">
        <v>45989</v>
      </c>
      <c r="B930">
        <v>22.87</v>
      </c>
    </row>
    <row r="931" spans="1:2" x14ac:dyDescent="0.25">
      <c r="A931" s="8">
        <v>46022</v>
      </c>
      <c r="B931">
        <v>23.92</v>
      </c>
    </row>
    <row r="932" spans="1:2" x14ac:dyDescent="0.25">
      <c r="A932" s="8">
        <v>46052</v>
      </c>
      <c r="B932">
        <v>44.08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B6CB0"/>
  </sheetPr>
  <dimension ref="A1:D797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368</v>
      </c>
      <c r="B1" s="6" t="s">
        <v>369</v>
      </c>
      <c r="C1" s="6" t="s">
        <v>370</v>
      </c>
      <c r="D1" s="6" t="s">
        <v>54</v>
      </c>
    </row>
    <row r="2" spans="1:4" x14ac:dyDescent="0.25">
      <c r="A2" s="8">
        <f ca="1">_xll.BDH("LEI TOTL Index","PX_LAST","02/01/2016",TODAY(),"Per=M","cols=2;rows=119")</f>
        <v>42400</v>
      </c>
      <c r="B2">
        <v>99.4</v>
      </c>
    </row>
    <row r="3" spans="1:4" x14ac:dyDescent="0.25">
      <c r="A3" s="8">
        <v>42429</v>
      </c>
      <c r="B3">
        <v>99.3</v>
      </c>
    </row>
    <row r="4" spans="1:4" x14ac:dyDescent="0.25">
      <c r="A4" s="8">
        <v>42460</v>
      </c>
      <c r="B4">
        <v>99.4</v>
      </c>
    </row>
    <row r="5" spans="1:4" x14ac:dyDescent="0.25">
      <c r="A5" s="8">
        <v>42490</v>
      </c>
      <c r="B5">
        <v>99.8</v>
      </c>
    </row>
    <row r="6" spans="1:4" x14ac:dyDescent="0.25">
      <c r="A6" s="8">
        <v>42521</v>
      </c>
      <c r="B6">
        <v>99.7</v>
      </c>
    </row>
    <row r="7" spans="1:4" x14ac:dyDescent="0.25">
      <c r="A7" s="8">
        <v>42551</v>
      </c>
      <c r="B7">
        <v>99.8</v>
      </c>
    </row>
    <row r="8" spans="1:4" x14ac:dyDescent="0.25">
      <c r="A8" s="8">
        <v>42582</v>
      </c>
      <c r="B8">
        <v>100.2</v>
      </c>
    </row>
    <row r="9" spans="1:4" x14ac:dyDescent="0.25">
      <c r="A9" s="8">
        <v>42613</v>
      </c>
      <c r="B9">
        <v>100.2</v>
      </c>
    </row>
    <row r="10" spans="1:4" x14ac:dyDescent="0.25">
      <c r="A10" s="8">
        <v>42643</v>
      </c>
      <c r="B10">
        <v>100.5</v>
      </c>
    </row>
    <row r="11" spans="1:4" x14ac:dyDescent="0.25">
      <c r="A11" s="8">
        <v>42674</v>
      </c>
      <c r="B11">
        <v>100.2</v>
      </c>
    </row>
    <row r="12" spans="1:4" x14ac:dyDescent="0.25">
      <c r="A12" s="8">
        <v>42704</v>
      </c>
      <c r="B12">
        <v>100.5</v>
      </c>
    </row>
    <row r="13" spans="1:4" x14ac:dyDescent="0.25">
      <c r="A13" s="8">
        <v>42735</v>
      </c>
      <c r="B13">
        <v>101</v>
      </c>
    </row>
    <row r="14" spans="1:4" x14ac:dyDescent="0.25">
      <c r="A14" s="8">
        <v>42766</v>
      </c>
      <c r="B14">
        <v>101.7</v>
      </c>
    </row>
    <row r="15" spans="1:4" x14ac:dyDescent="0.25">
      <c r="A15" s="8">
        <v>42794</v>
      </c>
      <c r="B15">
        <v>102.2</v>
      </c>
    </row>
    <row r="16" spans="1:4" x14ac:dyDescent="0.25">
      <c r="A16" s="8">
        <v>42825</v>
      </c>
      <c r="B16">
        <v>102.8</v>
      </c>
    </row>
    <row r="17" spans="1:2" x14ac:dyDescent="0.25">
      <c r="A17" s="8">
        <v>42855</v>
      </c>
      <c r="B17">
        <v>103.1</v>
      </c>
    </row>
    <row r="18" spans="1:2" x14ac:dyDescent="0.25">
      <c r="A18" s="8">
        <v>42886</v>
      </c>
      <c r="B18">
        <v>103.4</v>
      </c>
    </row>
    <row r="19" spans="1:2" x14ac:dyDescent="0.25">
      <c r="A19" s="8">
        <v>42916</v>
      </c>
      <c r="B19">
        <v>104.1</v>
      </c>
    </row>
    <row r="20" spans="1:2" x14ac:dyDescent="0.25">
      <c r="A20" s="8">
        <v>42947</v>
      </c>
      <c r="B20">
        <v>104.2</v>
      </c>
    </row>
    <row r="21" spans="1:2" x14ac:dyDescent="0.25">
      <c r="A21" s="8">
        <v>42978</v>
      </c>
      <c r="B21">
        <v>104.8</v>
      </c>
    </row>
    <row r="22" spans="1:2" x14ac:dyDescent="0.25">
      <c r="A22" s="8">
        <v>43008</v>
      </c>
      <c r="B22">
        <v>105.2</v>
      </c>
    </row>
    <row r="23" spans="1:2" x14ac:dyDescent="0.25">
      <c r="A23" s="8">
        <v>43039</v>
      </c>
      <c r="B23">
        <v>106.3</v>
      </c>
    </row>
    <row r="24" spans="1:2" x14ac:dyDescent="0.25">
      <c r="A24" s="8">
        <v>43069</v>
      </c>
      <c r="B24">
        <v>106.8</v>
      </c>
    </row>
    <row r="25" spans="1:2" x14ac:dyDescent="0.25">
      <c r="A25" s="8">
        <v>43100</v>
      </c>
      <c r="B25">
        <v>107.6</v>
      </c>
    </row>
    <row r="26" spans="1:2" x14ac:dyDescent="0.25">
      <c r="A26" s="8">
        <v>43131</v>
      </c>
      <c r="B26">
        <v>108.5</v>
      </c>
    </row>
    <row r="27" spans="1:2" x14ac:dyDescent="0.25">
      <c r="A27" s="8">
        <v>43159</v>
      </c>
      <c r="B27">
        <v>109.4</v>
      </c>
    </row>
    <row r="28" spans="1:2" x14ac:dyDescent="0.25">
      <c r="A28" s="8">
        <v>43190</v>
      </c>
      <c r="B28">
        <v>109.8</v>
      </c>
    </row>
    <row r="29" spans="1:2" x14ac:dyDescent="0.25">
      <c r="A29" s="8">
        <v>43220</v>
      </c>
      <c r="B29">
        <v>110.4</v>
      </c>
    </row>
    <row r="30" spans="1:2" x14ac:dyDescent="0.25">
      <c r="A30" s="8">
        <v>43251</v>
      </c>
      <c r="B30">
        <v>110.9</v>
      </c>
    </row>
    <row r="31" spans="1:2" x14ac:dyDescent="0.25">
      <c r="A31" s="8">
        <v>43281</v>
      </c>
      <c r="B31">
        <v>111.7</v>
      </c>
    </row>
    <row r="32" spans="1:2" x14ac:dyDescent="0.25">
      <c r="A32" s="8">
        <v>43312</v>
      </c>
      <c r="B32">
        <v>112.2</v>
      </c>
    </row>
    <row r="33" spans="1:2" x14ac:dyDescent="0.25">
      <c r="A33" s="8">
        <v>43343</v>
      </c>
      <c r="B33">
        <v>112.5</v>
      </c>
    </row>
    <row r="34" spans="1:2" x14ac:dyDescent="0.25">
      <c r="A34" s="8">
        <v>43373</v>
      </c>
      <c r="B34">
        <v>113.2</v>
      </c>
    </row>
    <row r="35" spans="1:2" x14ac:dyDescent="0.25">
      <c r="A35" s="8">
        <v>43404</v>
      </c>
      <c r="B35">
        <v>113.2</v>
      </c>
    </row>
    <row r="36" spans="1:2" x14ac:dyDescent="0.25">
      <c r="A36" s="8">
        <v>43434</v>
      </c>
      <c r="B36">
        <v>113.1</v>
      </c>
    </row>
    <row r="37" spans="1:2" x14ac:dyDescent="0.25">
      <c r="A37" s="8">
        <v>43465</v>
      </c>
      <c r="B37">
        <v>113</v>
      </c>
    </row>
    <row r="38" spans="1:2" x14ac:dyDescent="0.25">
      <c r="A38" s="8">
        <v>43496</v>
      </c>
      <c r="B38">
        <v>112.8</v>
      </c>
    </row>
    <row r="39" spans="1:2" x14ac:dyDescent="0.25">
      <c r="A39" s="8">
        <v>43524</v>
      </c>
      <c r="B39">
        <v>113.2</v>
      </c>
    </row>
    <row r="40" spans="1:2" x14ac:dyDescent="0.25">
      <c r="A40" s="8">
        <v>43555</v>
      </c>
      <c r="B40">
        <v>113.5</v>
      </c>
    </row>
    <row r="41" spans="1:2" x14ac:dyDescent="0.25">
      <c r="A41" s="8">
        <v>43585</v>
      </c>
      <c r="B41">
        <v>113.7</v>
      </c>
    </row>
    <row r="42" spans="1:2" x14ac:dyDescent="0.25">
      <c r="A42" s="8">
        <v>43616</v>
      </c>
      <c r="B42">
        <v>113.6</v>
      </c>
    </row>
    <row r="43" spans="1:2" x14ac:dyDescent="0.25">
      <c r="A43" s="8">
        <v>43646</v>
      </c>
      <c r="B43">
        <v>113.7</v>
      </c>
    </row>
    <row r="44" spans="1:2" x14ac:dyDescent="0.25">
      <c r="A44" s="8">
        <v>43677</v>
      </c>
      <c r="B44">
        <v>113.8</v>
      </c>
    </row>
    <row r="45" spans="1:2" x14ac:dyDescent="0.25">
      <c r="A45" s="8">
        <v>43708</v>
      </c>
      <c r="B45">
        <v>113.7</v>
      </c>
    </row>
    <row r="46" spans="1:2" x14ac:dyDescent="0.25">
      <c r="A46" s="8">
        <v>43738</v>
      </c>
      <c r="B46">
        <v>113.4</v>
      </c>
    </row>
    <row r="47" spans="1:2" x14ac:dyDescent="0.25">
      <c r="A47" s="8">
        <v>43769</v>
      </c>
      <c r="B47">
        <v>112.9</v>
      </c>
    </row>
    <row r="48" spans="1:2" x14ac:dyDescent="0.25">
      <c r="A48" s="8">
        <v>43799</v>
      </c>
      <c r="B48">
        <v>112.8</v>
      </c>
    </row>
    <row r="49" spans="1:2" x14ac:dyDescent="0.25">
      <c r="A49" s="8">
        <v>43830</v>
      </c>
      <c r="B49">
        <v>112.5</v>
      </c>
    </row>
    <row r="50" spans="1:2" x14ac:dyDescent="0.25">
      <c r="A50" s="8">
        <v>43861</v>
      </c>
      <c r="B50">
        <v>112.9</v>
      </c>
    </row>
    <row r="51" spans="1:2" x14ac:dyDescent="0.25">
      <c r="A51" s="8">
        <v>43890</v>
      </c>
      <c r="B51">
        <v>112.9</v>
      </c>
    </row>
    <row r="52" spans="1:2" x14ac:dyDescent="0.25">
      <c r="A52" s="8">
        <v>43921</v>
      </c>
      <c r="B52">
        <v>107.5</v>
      </c>
    </row>
    <row r="53" spans="1:2" x14ac:dyDescent="0.25">
      <c r="A53" s="8">
        <v>43951</v>
      </c>
      <c r="B53">
        <v>101.6</v>
      </c>
    </row>
    <row r="54" spans="1:2" x14ac:dyDescent="0.25">
      <c r="A54" s="8">
        <v>43982</v>
      </c>
      <c r="B54">
        <v>103.5</v>
      </c>
    </row>
    <row r="55" spans="1:2" x14ac:dyDescent="0.25">
      <c r="A55" s="8">
        <v>44012</v>
      </c>
      <c r="B55">
        <v>105.8</v>
      </c>
    </row>
    <row r="56" spans="1:2" x14ac:dyDescent="0.25">
      <c r="A56" s="8">
        <v>44043</v>
      </c>
      <c r="B56">
        <v>107.5</v>
      </c>
    </row>
    <row r="57" spans="1:2" x14ac:dyDescent="0.25">
      <c r="A57" s="8">
        <v>44074</v>
      </c>
      <c r="B57">
        <v>108.5</v>
      </c>
    </row>
    <row r="58" spans="1:2" x14ac:dyDescent="0.25">
      <c r="A58" s="8">
        <v>44104</v>
      </c>
      <c r="B58">
        <v>109.1</v>
      </c>
    </row>
    <row r="59" spans="1:2" x14ac:dyDescent="0.25">
      <c r="A59" s="8">
        <v>44135</v>
      </c>
      <c r="B59">
        <v>109.7</v>
      </c>
    </row>
    <row r="60" spans="1:2" x14ac:dyDescent="0.25">
      <c r="A60" s="8">
        <v>44165</v>
      </c>
      <c r="B60">
        <v>110.4</v>
      </c>
    </row>
    <row r="61" spans="1:2" x14ac:dyDescent="0.25">
      <c r="A61" s="8">
        <v>44196</v>
      </c>
      <c r="B61">
        <v>111.1</v>
      </c>
    </row>
    <row r="62" spans="1:2" x14ac:dyDescent="0.25">
      <c r="A62" s="8">
        <v>44227</v>
      </c>
      <c r="B62">
        <v>112</v>
      </c>
    </row>
    <row r="63" spans="1:2" x14ac:dyDescent="0.25">
      <c r="A63" s="8">
        <v>44255</v>
      </c>
      <c r="B63">
        <v>112</v>
      </c>
    </row>
    <row r="64" spans="1:2" x14ac:dyDescent="0.25">
      <c r="A64" s="8">
        <v>44286</v>
      </c>
      <c r="B64">
        <v>113.1</v>
      </c>
    </row>
    <row r="65" spans="1:2" x14ac:dyDescent="0.25">
      <c r="A65" s="8">
        <v>44316</v>
      </c>
      <c r="B65">
        <v>114.3</v>
      </c>
    </row>
    <row r="66" spans="1:2" x14ac:dyDescent="0.25">
      <c r="A66" s="8">
        <v>44347</v>
      </c>
      <c r="B66">
        <v>115.1</v>
      </c>
    </row>
    <row r="67" spans="1:2" x14ac:dyDescent="0.25">
      <c r="A67" s="8">
        <v>44377</v>
      </c>
      <c r="B67">
        <v>116.1</v>
      </c>
    </row>
    <row r="68" spans="1:2" x14ac:dyDescent="0.25">
      <c r="A68" s="8">
        <v>44408</v>
      </c>
      <c r="B68">
        <v>117.1</v>
      </c>
    </row>
    <row r="69" spans="1:2" x14ac:dyDescent="0.25">
      <c r="A69" s="8">
        <v>44439</v>
      </c>
      <c r="B69">
        <v>117.8</v>
      </c>
    </row>
    <row r="70" spans="1:2" x14ac:dyDescent="0.25">
      <c r="A70" s="8">
        <v>44469</v>
      </c>
      <c r="B70">
        <v>117.7</v>
      </c>
    </row>
    <row r="71" spans="1:2" x14ac:dyDescent="0.25">
      <c r="A71" s="8">
        <v>44500</v>
      </c>
      <c r="B71">
        <v>118.6</v>
      </c>
    </row>
    <row r="72" spans="1:2" x14ac:dyDescent="0.25">
      <c r="A72" s="8">
        <v>44530</v>
      </c>
      <c r="B72">
        <v>119.4</v>
      </c>
    </row>
    <row r="73" spans="1:2" x14ac:dyDescent="0.25">
      <c r="A73" s="8">
        <v>44561</v>
      </c>
      <c r="B73">
        <v>120.2</v>
      </c>
    </row>
    <row r="74" spans="1:2" x14ac:dyDescent="0.25">
      <c r="A74" s="8">
        <v>44592</v>
      </c>
      <c r="B74">
        <v>119.3</v>
      </c>
    </row>
    <row r="75" spans="1:2" x14ac:dyDescent="0.25">
      <c r="A75" s="8">
        <v>44620</v>
      </c>
      <c r="B75">
        <v>119.5</v>
      </c>
    </row>
    <row r="76" spans="1:2" x14ac:dyDescent="0.25">
      <c r="A76" s="8">
        <v>44651</v>
      </c>
      <c r="B76">
        <v>119.4</v>
      </c>
    </row>
    <row r="77" spans="1:2" x14ac:dyDescent="0.25">
      <c r="A77" s="8">
        <v>44681</v>
      </c>
      <c r="B77">
        <v>118.9</v>
      </c>
    </row>
    <row r="78" spans="1:2" x14ac:dyDescent="0.25">
      <c r="A78" s="8">
        <v>44712</v>
      </c>
      <c r="B78">
        <v>117.9</v>
      </c>
    </row>
    <row r="79" spans="1:2" x14ac:dyDescent="0.25">
      <c r="A79" s="8">
        <v>44742</v>
      </c>
      <c r="B79">
        <v>117.1</v>
      </c>
    </row>
    <row r="80" spans="1:2" x14ac:dyDescent="0.25">
      <c r="A80" s="8">
        <v>44773</v>
      </c>
      <c r="B80">
        <v>116.4</v>
      </c>
    </row>
    <row r="81" spans="1:2" x14ac:dyDescent="0.25">
      <c r="A81" s="8">
        <v>44804</v>
      </c>
      <c r="B81">
        <v>115.9</v>
      </c>
    </row>
    <row r="82" spans="1:2" x14ac:dyDescent="0.25">
      <c r="A82" s="8">
        <v>44834</v>
      </c>
      <c r="B82">
        <v>115.2</v>
      </c>
    </row>
    <row r="83" spans="1:2" x14ac:dyDescent="0.25">
      <c r="A83" s="8">
        <v>44865</v>
      </c>
      <c r="B83">
        <v>114.4</v>
      </c>
    </row>
    <row r="84" spans="1:2" x14ac:dyDescent="0.25">
      <c r="A84" s="8">
        <v>44895</v>
      </c>
      <c r="B84">
        <v>113.3</v>
      </c>
    </row>
    <row r="85" spans="1:2" x14ac:dyDescent="0.25">
      <c r="A85" s="8">
        <v>44926</v>
      </c>
      <c r="B85">
        <v>112.3</v>
      </c>
    </row>
    <row r="86" spans="1:2" x14ac:dyDescent="0.25">
      <c r="A86" s="8">
        <v>44957</v>
      </c>
      <c r="B86">
        <v>112.1</v>
      </c>
    </row>
    <row r="87" spans="1:2" x14ac:dyDescent="0.25">
      <c r="A87" s="8">
        <v>44985</v>
      </c>
      <c r="B87">
        <v>111.6</v>
      </c>
    </row>
    <row r="88" spans="1:2" x14ac:dyDescent="0.25">
      <c r="A88" s="8">
        <v>45016</v>
      </c>
      <c r="B88">
        <v>110.2</v>
      </c>
    </row>
    <row r="89" spans="1:2" x14ac:dyDescent="0.25">
      <c r="A89" s="8">
        <v>45046</v>
      </c>
      <c r="B89">
        <v>109.4</v>
      </c>
    </row>
    <row r="90" spans="1:2" x14ac:dyDescent="0.25">
      <c r="A90" s="8">
        <v>45077</v>
      </c>
      <c r="B90">
        <v>108.5</v>
      </c>
    </row>
    <row r="91" spans="1:2" x14ac:dyDescent="0.25">
      <c r="A91" s="8">
        <v>45107</v>
      </c>
      <c r="B91">
        <v>107.8</v>
      </c>
    </row>
    <row r="92" spans="1:2" x14ac:dyDescent="0.25">
      <c r="A92" s="8">
        <v>45138</v>
      </c>
      <c r="B92">
        <v>107.5</v>
      </c>
    </row>
    <row r="93" spans="1:2" x14ac:dyDescent="0.25">
      <c r="A93" s="8">
        <v>45169</v>
      </c>
      <c r="B93">
        <v>107</v>
      </c>
    </row>
    <row r="94" spans="1:2" x14ac:dyDescent="0.25">
      <c r="A94" s="8">
        <v>45199</v>
      </c>
      <c r="B94">
        <v>106.3</v>
      </c>
    </row>
    <row r="95" spans="1:2" x14ac:dyDescent="0.25">
      <c r="A95" s="8">
        <v>45230</v>
      </c>
      <c r="B95">
        <v>105.3</v>
      </c>
    </row>
    <row r="96" spans="1:2" x14ac:dyDescent="0.25">
      <c r="A96" s="8">
        <v>45260</v>
      </c>
      <c r="B96">
        <v>104.8</v>
      </c>
    </row>
    <row r="97" spans="1:2" x14ac:dyDescent="0.25">
      <c r="A97" s="8">
        <v>45291</v>
      </c>
      <c r="B97">
        <v>104.7</v>
      </c>
    </row>
    <row r="98" spans="1:2" x14ac:dyDescent="0.25">
      <c r="A98" s="8">
        <v>45322</v>
      </c>
      <c r="B98">
        <v>104.2</v>
      </c>
    </row>
    <row r="99" spans="1:2" x14ac:dyDescent="0.25">
      <c r="A99" s="8">
        <v>45351</v>
      </c>
      <c r="B99">
        <v>104.3</v>
      </c>
    </row>
    <row r="100" spans="1:2" x14ac:dyDescent="0.25">
      <c r="A100" s="8">
        <v>45382</v>
      </c>
      <c r="B100">
        <v>104.1</v>
      </c>
    </row>
    <row r="101" spans="1:2" x14ac:dyDescent="0.25">
      <c r="A101" s="8">
        <v>45412</v>
      </c>
      <c r="B101">
        <v>103.5</v>
      </c>
    </row>
    <row r="102" spans="1:2" x14ac:dyDescent="0.25">
      <c r="A102" s="8">
        <v>45443</v>
      </c>
      <c r="B102">
        <v>103.1</v>
      </c>
    </row>
    <row r="103" spans="1:2" x14ac:dyDescent="0.25">
      <c r="A103" s="8">
        <v>45473</v>
      </c>
      <c r="B103">
        <v>102.9</v>
      </c>
    </row>
    <row r="104" spans="1:2" x14ac:dyDescent="0.25">
      <c r="A104" s="8">
        <v>45504</v>
      </c>
      <c r="B104">
        <v>102.4</v>
      </c>
    </row>
    <row r="105" spans="1:2" x14ac:dyDescent="0.25">
      <c r="A105" s="8">
        <v>45535</v>
      </c>
      <c r="B105">
        <v>102.1</v>
      </c>
    </row>
    <row r="106" spans="1:2" x14ac:dyDescent="0.25">
      <c r="A106" s="8">
        <v>45565</v>
      </c>
      <c r="B106">
        <v>101.7</v>
      </c>
    </row>
    <row r="107" spans="1:2" x14ac:dyDescent="0.25">
      <c r="A107" s="8">
        <v>45596</v>
      </c>
      <c r="B107">
        <v>101.4</v>
      </c>
    </row>
    <row r="108" spans="1:2" x14ac:dyDescent="0.25">
      <c r="A108" s="8">
        <v>45626</v>
      </c>
      <c r="B108">
        <v>101.7</v>
      </c>
    </row>
    <row r="109" spans="1:2" x14ac:dyDescent="0.25">
      <c r="A109" s="8">
        <v>45657</v>
      </c>
      <c r="B109">
        <v>101.6</v>
      </c>
    </row>
    <row r="110" spans="1:2" x14ac:dyDescent="0.25">
      <c r="A110" s="8">
        <v>45688</v>
      </c>
      <c r="B110">
        <v>101.4</v>
      </c>
    </row>
    <row r="111" spans="1:2" x14ac:dyDescent="0.25">
      <c r="A111" s="8">
        <v>45716</v>
      </c>
      <c r="B111">
        <v>101.2</v>
      </c>
    </row>
    <row r="112" spans="1:2" x14ac:dyDescent="0.25">
      <c r="A112" s="8">
        <v>45747</v>
      </c>
      <c r="B112">
        <v>100.4</v>
      </c>
    </row>
    <row r="113" spans="1:2" x14ac:dyDescent="0.25">
      <c r="A113" s="8">
        <v>45777</v>
      </c>
      <c r="B113">
        <v>99.1</v>
      </c>
    </row>
    <row r="114" spans="1:2" x14ac:dyDescent="0.25">
      <c r="A114" s="8">
        <v>45808</v>
      </c>
      <c r="B114">
        <v>99.1</v>
      </c>
    </row>
    <row r="115" spans="1:2" x14ac:dyDescent="0.25">
      <c r="A115" s="8">
        <v>45838</v>
      </c>
      <c r="B115">
        <v>98.8</v>
      </c>
    </row>
    <row r="116" spans="1:2" x14ac:dyDescent="0.25">
      <c r="A116" s="8">
        <v>45869</v>
      </c>
      <c r="B116">
        <v>98.8</v>
      </c>
    </row>
    <row r="117" spans="1:2" x14ac:dyDescent="0.25">
      <c r="A117" s="8">
        <v>45900</v>
      </c>
      <c r="B117">
        <v>98.5</v>
      </c>
    </row>
    <row r="118" spans="1:2" x14ac:dyDescent="0.25">
      <c r="A118" s="8">
        <v>45930</v>
      </c>
      <c r="B118">
        <v>98.3</v>
      </c>
    </row>
    <row r="119" spans="1:2" x14ac:dyDescent="0.25">
      <c r="A119" s="8">
        <v>45961</v>
      </c>
      <c r="B119">
        <v>98.2</v>
      </c>
    </row>
    <row r="120" spans="1:2" x14ac:dyDescent="0.25">
      <c r="A120" s="8">
        <v>45991</v>
      </c>
      <c r="B120">
        <v>97.9</v>
      </c>
    </row>
    <row r="136" spans="1:4" x14ac:dyDescent="0.25">
      <c r="A136" s="6" t="s">
        <v>371</v>
      </c>
      <c r="B136" s="6" t="s">
        <v>372</v>
      </c>
      <c r="C136" s="6" t="s">
        <v>373</v>
      </c>
      <c r="D136" s="6" t="s">
        <v>54</v>
      </c>
    </row>
    <row r="137" spans="1:4" x14ac:dyDescent="0.25">
      <c r="A137" s="8">
        <f ca="1">_xll.BDH("CFNAI Index","PX_LAST","02/01/2016",TODAY(),"Per=M","cols=2;rows=119")</f>
        <v>42400</v>
      </c>
      <c r="B137">
        <v>0.09</v>
      </c>
    </row>
    <row r="138" spans="1:4" x14ac:dyDescent="0.25">
      <c r="A138" s="8">
        <v>42429</v>
      </c>
      <c r="B138">
        <v>-0.23</v>
      </c>
    </row>
    <row r="139" spans="1:4" x14ac:dyDescent="0.25">
      <c r="A139" s="8">
        <v>42460</v>
      </c>
      <c r="B139">
        <v>-0.33</v>
      </c>
    </row>
    <row r="140" spans="1:4" x14ac:dyDescent="0.25">
      <c r="A140" s="8">
        <v>42490</v>
      </c>
      <c r="B140">
        <v>-0.1</v>
      </c>
    </row>
    <row r="141" spans="1:4" x14ac:dyDescent="0.25">
      <c r="A141" s="8">
        <v>42521</v>
      </c>
      <c r="B141">
        <v>-0.35</v>
      </c>
    </row>
    <row r="142" spans="1:4" x14ac:dyDescent="0.25">
      <c r="A142" s="8">
        <v>42551</v>
      </c>
      <c r="B142">
        <v>0.12</v>
      </c>
    </row>
    <row r="143" spans="1:4" x14ac:dyDescent="0.25">
      <c r="A143" s="8">
        <v>42582</v>
      </c>
      <c r="B143">
        <v>0.05</v>
      </c>
    </row>
    <row r="144" spans="1:4" x14ac:dyDescent="0.25">
      <c r="A144" s="8">
        <v>42613</v>
      </c>
      <c r="B144">
        <v>-0.21</v>
      </c>
    </row>
    <row r="145" spans="1:2" x14ac:dyDescent="0.25">
      <c r="A145" s="8">
        <v>42643</v>
      </c>
      <c r="B145">
        <v>-0.09</v>
      </c>
    </row>
    <row r="146" spans="1:2" x14ac:dyDescent="0.25">
      <c r="A146" s="8">
        <v>42674</v>
      </c>
      <c r="B146">
        <v>-7.0000000000000007E-2</v>
      </c>
    </row>
    <row r="147" spans="1:2" x14ac:dyDescent="0.25">
      <c r="A147" s="8">
        <v>42704</v>
      </c>
      <c r="B147">
        <v>-0.22</v>
      </c>
    </row>
    <row r="148" spans="1:2" x14ac:dyDescent="0.25">
      <c r="A148" s="8">
        <v>42735</v>
      </c>
      <c r="B148">
        <v>0.38</v>
      </c>
    </row>
    <row r="149" spans="1:2" x14ac:dyDescent="0.25">
      <c r="A149" s="8">
        <v>42766</v>
      </c>
      <c r="B149">
        <v>-0.12</v>
      </c>
    </row>
    <row r="150" spans="1:2" x14ac:dyDescent="0.25">
      <c r="A150" s="8">
        <v>42794</v>
      </c>
      <c r="B150">
        <v>-0.09</v>
      </c>
    </row>
    <row r="151" spans="1:2" x14ac:dyDescent="0.25">
      <c r="A151" s="8">
        <v>42825</v>
      </c>
      <c r="B151">
        <v>0.02</v>
      </c>
    </row>
    <row r="152" spans="1:2" x14ac:dyDescent="0.25">
      <c r="A152" s="8">
        <v>42855</v>
      </c>
      <c r="B152">
        <v>0.34</v>
      </c>
    </row>
    <row r="153" spans="1:2" x14ac:dyDescent="0.25">
      <c r="A153" s="8">
        <v>42886</v>
      </c>
      <c r="B153">
        <v>0.02</v>
      </c>
    </row>
    <row r="154" spans="1:2" x14ac:dyDescent="0.25">
      <c r="A154" s="8">
        <v>42916</v>
      </c>
      <c r="B154">
        <v>0.16</v>
      </c>
    </row>
    <row r="155" spans="1:2" x14ac:dyDescent="0.25">
      <c r="A155" s="8">
        <v>42947</v>
      </c>
      <c r="B155">
        <v>-0.17</v>
      </c>
    </row>
    <row r="156" spans="1:2" x14ac:dyDescent="0.25">
      <c r="A156" s="8">
        <v>42978</v>
      </c>
      <c r="B156">
        <v>0.01</v>
      </c>
    </row>
    <row r="157" spans="1:2" x14ac:dyDescent="0.25">
      <c r="A157" s="8">
        <v>43008</v>
      </c>
      <c r="B157">
        <v>0.18</v>
      </c>
    </row>
    <row r="158" spans="1:2" x14ac:dyDescent="0.25">
      <c r="A158" s="8">
        <v>43039</v>
      </c>
      <c r="B158">
        <v>0.54</v>
      </c>
    </row>
    <row r="159" spans="1:2" x14ac:dyDescent="0.25">
      <c r="A159" s="8">
        <v>43069</v>
      </c>
      <c r="B159">
        <v>0.23</v>
      </c>
    </row>
    <row r="160" spans="1:2" x14ac:dyDescent="0.25">
      <c r="A160" s="8">
        <v>43100</v>
      </c>
      <c r="B160">
        <v>0.2</v>
      </c>
    </row>
    <row r="161" spans="1:2" x14ac:dyDescent="0.25">
      <c r="A161" s="8">
        <v>43131</v>
      </c>
      <c r="B161">
        <v>-0.23</v>
      </c>
    </row>
    <row r="162" spans="1:2" x14ac:dyDescent="0.25">
      <c r="A162" s="8">
        <v>43159</v>
      </c>
      <c r="B162">
        <v>0.47</v>
      </c>
    </row>
    <row r="163" spans="1:2" x14ac:dyDescent="0.25">
      <c r="A163" s="8">
        <v>43190</v>
      </c>
      <c r="B163">
        <v>0.1</v>
      </c>
    </row>
    <row r="164" spans="1:2" x14ac:dyDescent="0.25">
      <c r="A164" s="8">
        <v>43220</v>
      </c>
      <c r="B164">
        <v>0.39</v>
      </c>
    </row>
    <row r="165" spans="1:2" x14ac:dyDescent="0.25">
      <c r="A165" s="8">
        <v>43251</v>
      </c>
      <c r="B165">
        <v>-0.15</v>
      </c>
    </row>
    <row r="166" spans="1:2" x14ac:dyDescent="0.25">
      <c r="A166" s="8">
        <v>43281</v>
      </c>
      <c r="B166">
        <v>0.21</v>
      </c>
    </row>
    <row r="167" spans="1:2" x14ac:dyDescent="0.25">
      <c r="A167" s="8">
        <v>43312</v>
      </c>
      <c r="B167">
        <v>0.05</v>
      </c>
    </row>
    <row r="168" spans="1:2" x14ac:dyDescent="0.25">
      <c r="A168" s="8">
        <v>43343</v>
      </c>
      <c r="B168">
        <v>0.3</v>
      </c>
    </row>
    <row r="169" spans="1:2" x14ac:dyDescent="0.25">
      <c r="A169" s="8">
        <v>43373</v>
      </c>
      <c r="B169">
        <v>0.01</v>
      </c>
    </row>
    <row r="170" spans="1:2" x14ac:dyDescent="0.25">
      <c r="A170" s="8">
        <v>43404</v>
      </c>
      <c r="B170">
        <v>-0.21</v>
      </c>
    </row>
    <row r="171" spans="1:2" x14ac:dyDescent="0.25">
      <c r="A171" s="8">
        <v>43434</v>
      </c>
      <c r="B171">
        <v>0.01</v>
      </c>
    </row>
    <row r="172" spans="1:2" x14ac:dyDescent="0.25">
      <c r="A172" s="8">
        <v>43465</v>
      </c>
      <c r="B172">
        <v>-0.13</v>
      </c>
    </row>
    <row r="173" spans="1:2" x14ac:dyDescent="0.25">
      <c r="A173" s="8">
        <v>43496</v>
      </c>
      <c r="B173">
        <v>-0.36</v>
      </c>
    </row>
    <row r="174" spans="1:2" x14ac:dyDescent="0.25">
      <c r="A174" s="8">
        <v>43524</v>
      </c>
      <c r="B174">
        <v>-0.41</v>
      </c>
    </row>
    <row r="175" spans="1:2" x14ac:dyDescent="0.25">
      <c r="A175" s="8">
        <v>43555</v>
      </c>
      <c r="B175">
        <v>-0.1</v>
      </c>
    </row>
    <row r="176" spans="1:2" x14ac:dyDescent="0.25">
      <c r="A176" s="8">
        <v>43585</v>
      </c>
      <c r="B176">
        <v>-0.51</v>
      </c>
    </row>
    <row r="177" spans="1:2" x14ac:dyDescent="0.25">
      <c r="A177" s="8">
        <v>43616</v>
      </c>
      <c r="B177">
        <v>0.02</v>
      </c>
    </row>
    <row r="178" spans="1:2" x14ac:dyDescent="0.25">
      <c r="A178" s="8">
        <v>43646</v>
      </c>
      <c r="B178">
        <v>0.03</v>
      </c>
    </row>
    <row r="179" spans="1:2" x14ac:dyDescent="0.25">
      <c r="A179" s="8">
        <v>43677</v>
      </c>
      <c r="B179">
        <v>-0.37</v>
      </c>
    </row>
    <row r="180" spans="1:2" x14ac:dyDescent="0.25">
      <c r="A180" s="8">
        <v>43708</v>
      </c>
      <c r="B180">
        <v>0.17</v>
      </c>
    </row>
    <row r="181" spans="1:2" x14ac:dyDescent="0.25">
      <c r="A181" s="8">
        <v>43738</v>
      </c>
      <c r="B181">
        <v>-0.43</v>
      </c>
    </row>
    <row r="182" spans="1:2" x14ac:dyDescent="0.25">
      <c r="A182" s="8">
        <v>43769</v>
      </c>
      <c r="B182">
        <v>-0.78</v>
      </c>
    </row>
    <row r="183" spans="1:2" x14ac:dyDescent="0.25">
      <c r="A183" s="8">
        <v>43799</v>
      </c>
      <c r="B183">
        <v>0.2</v>
      </c>
    </row>
    <row r="184" spans="1:2" x14ac:dyDescent="0.25">
      <c r="A184" s="8">
        <v>43830</v>
      </c>
      <c r="B184">
        <v>-0.35</v>
      </c>
    </row>
    <row r="185" spans="1:2" x14ac:dyDescent="0.25">
      <c r="A185" s="8">
        <v>43861</v>
      </c>
      <c r="B185">
        <v>-0.25</v>
      </c>
    </row>
    <row r="186" spans="1:2" x14ac:dyDescent="0.25">
      <c r="A186" s="8">
        <v>43890</v>
      </c>
      <c r="B186">
        <v>7.0000000000000007E-2</v>
      </c>
    </row>
    <row r="187" spans="1:2" x14ac:dyDescent="0.25">
      <c r="A187" s="8">
        <v>43921</v>
      </c>
      <c r="B187">
        <v>-4.3600000000000003</v>
      </c>
    </row>
    <row r="188" spans="1:2" x14ac:dyDescent="0.25">
      <c r="A188" s="8">
        <v>43951</v>
      </c>
      <c r="B188">
        <v>-18.239999999999998</v>
      </c>
    </row>
    <row r="189" spans="1:2" x14ac:dyDescent="0.25">
      <c r="A189" s="8">
        <v>43982</v>
      </c>
      <c r="B189">
        <v>4.75</v>
      </c>
    </row>
    <row r="190" spans="1:2" x14ac:dyDescent="0.25">
      <c r="A190" s="8">
        <v>44012</v>
      </c>
      <c r="B190">
        <v>6.3</v>
      </c>
    </row>
    <row r="191" spans="1:2" x14ac:dyDescent="0.25">
      <c r="A191" s="8">
        <v>44043</v>
      </c>
      <c r="B191">
        <v>2.63</v>
      </c>
    </row>
    <row r="192" spans="1:2" x14ac:dyDescent="0.25">
      <c r="A192" s="8">
        <v>44074</v>
      </c>
      <c r="B192">
        <v>1.25</v>
      </c>
    </row>
    <row r="193" spans="1:2" x14ac:dyDescent="0.25">
      <c r="A193" s="8">
        <v>44104</v>
      </c>
      <c r="B193">
        <v>0.5</v>
      </c>
    </row>
    <row r="194" spans="1:2" x14ac:dyDescent="0.25">
      <c r="A194" s="8">
        <v>44135</v>
      </c>
      <c r="B194">
        <v>1.01</v>
      </c>
    </row>
    <row r="195" spans="1:2" x14ac:dyDescent="0.25">
      <c r="A195" s="8">
        <v>44165</v>
      </c>
      <c r="B195">
        <v>0.28000000000000003</v>
      </c>
    </row>
    <row r="196" spans="1:2" x14ac:dyDescent="0.25">
      <c r="A196" s="8">
        <v>44196</v>
      </c>
      <c r="B196">
        <v>0.68</v>
      </c>
    </row>
    <row r="197" spans="1:2" x14ac:dyDescent="0.25">
      <c r="A197" s="8">
        <v>44227</v>
      </c>
      <c r="B197">
        <v>0.87</v>
      </c>
    </row>
    <row r="198" spans="1:2" x14ac:dyDescent="0.25">
      <c r="A198" s="8">
        <v>44255</v>
      </c>
      <c r="B198">
        <v>-1.83</v>
      </c>
    </row>
    <row r="199" spans="1:2" x14ac:dyDescent="0.25">
      <c r="A199" s="8">
        <v>44286</v>
      </c>
      <c r="B199">
        <v>2.38</v>
      </c>
    </row>
    <row r="200" spans="1:2" x14ac:dyDescent="0.25">
      <c r="A200" s="8">
        <v>44316</v>
      </c>
      <c r="B200">
        <v>0.12</v>
      </c>
    </row>
    <row r="201" spans="1:2" x14ac:dyDescent="0.25">
      <c r="A201" s="8">
        <v>44347</v>
      </c>
      <c r="B201">
        <v>0.22</v>
      </c>
    </row>
    <row r="202" spans="1:2" x14ac:dyDescent="0.25">
      <c r="A202" s="8">
        <v>44377</v>
      </c>
      <c r="B202">
        <v>0.3</v>
      </c>
    </row>
    <row r="203" spans="1:2" x14ac:dyDescent="0.25">
      <c r="A203" s="8">
        <v>44408</v>
      </c>
      <c r="B203">
        <v>0.75</v>
      </c>
    </row>
    <row r="204" spans="1:2" x14ac:dyDescent="0.25">
      <c r="A204" s="8">
        <v>44439</v>
      </c>
      <c r="B204">
        <v>-0.05</v>
      </c>
    </row>
    <row r="205" spans="1:2" x14ac:dyDescent="0.25">
      <c r="A205" s="8">
        <v>44469</v>
      </c>
      <c r="B205">
        <v>-0.13</v>
      </c>
    </row>
    <row r="206" spans="1:2" x14ac:dyDescent="0.25">
      <c r="A206" s="8">
        <v>44500</v>
      </c>
      <c r="B206">
        <v>0.93</v>
      </c>
    </row>
    <row r="207" spans="1:2" x14ac:dyDescent="0.25">
      <c r="A207" s="8">
        <v>44530</v>
      </c>
      <c r="B207">
        <v>0.64</v>
      </c>
    </row>
    <row r="208" spans="1:2" x14ac:dyDescent="0.25">
      <c r="A208" s="8">
        <v>44561</v>
      </c>
      <c r="B208">
        <v>0.16</v>
      </c>
    </row>
    <row r="209" spans="1:2" x14ac:dyDescent="0.25">
      <c r="A209" s="8">
        <v>44592</v>
      </c>
      <c r="B209">
        <v>-0.01</v>
      </c>
    </row>
    <row r="210" spans="1:2" x14ac:dyDescent="0.25">
      <c r="A210" s="8">
        <v>44620</v>
      </c>
      <c r="B210">
        <v>0.43</v>
      </c>
    </row>
    <row r="211" spans="1:2" x14ac:dyDescent="0.25">
      <c r="A211" s="8">
        <v>44651</v>
      </c>
      <c r="B211">
        <v>0.4</v>
      </c>
    </row>
    <row r="212" spans="1:2" x14ac:dyDescent="0.25">
      <c r="A212" s="8">
        <v>44681</v>
      </c>
      <c r="B212">
        <v>0.01</v>
      </c>
    </row>
    <row r="213" spans="1:2" x14ac:dyDescent="0.25">
      <c r="A213" s="8">
        <v>44712</v>
      </c>
      <c r="B213">
        <v>-0.43</v>
      </c>
    </row>
    <row r="214" spans="1:2" x14ac:dyDescent="0.25">
      <c r="A214" s="8">
        <v>44742</v>
      </c>
      <c r="B214">
        <v>-0.27</v>
      </c>
    </row>
    <row r="215" spans="1:2" x14ac:dyDescent="0.25">
      <c r="A215" s="8">
        <v>44773</v>
      </c>
      <c r="B215">
        <v>0.21</v>
      </c>
    </row>
    <row r="216" spans="1:2" x14ac:dyDescent="0.25">
      <c r="A216" s="8">
        <v>44804</v>
      </c>
      <c r="B216">
        <v>0.03</v>
      </c>
    </row>
    <row r="217" spans="1:2" x14ac:dyDescent="0.25">
      <c r="A217" s="8">
        <v>44834</v>
      </c>
      <c r="B217">
        <v>0</v>
      </c>
    </row>
    <row r="218" spans="1:2" x14ac:dyDescent="0.25">
      <c r="A218" s="8">
        <v>44865</v>
      </c>
      <c r="B218">
        <v>0.03</v>
      </c>
    </row>
    <row r="219" spans="1:2" x14ac:dyDescent="0.25">
      <c r="A219" s="8">
        <v>44895</v>
      </c>
      <c r="B219">
        <v>-0.59</v>
      </c>
    </row>
    <row r="220" spans="1:2" x14ac:dyDescent="0.25">
      <c r="A220" s="8">
        <v>44926</v>
      </c>
      <c r="B220">
        <v>-0.47</v>
      </c>
    </row>
    <row r="221" spans="1:2" x14ac:dyDescent="0.25">
      <c r="A221" s="8">
        <v>44957</v>
      </c>
      <c r="B221">
        <v>0.57999999999999996</v>
      </c>
    </row>
    <row r="222" spans="1:2" x14ac:dyDescent="0.25">
      <c r="A222" s="8">
        <v>44985</v>
      </c>
      <c r="B222">
        <v>-0.4</v>
      </c>
    </row>
    <row r="223" spans="1:2" x14ac:dyDescent="0.25">
      <c r="A223" s="8">
        <v>45016</v>
      </c>
      <c r="B223">
        <v>-0.41</v>
      </c>
    </row>
    <row r="224" spans="1:2" x14ac:dyDescent="0.25">
      <c r="A224" s="8">
        <v>45046</v>
      </c>
      <c r="B224">
        <v>0.04</v>
      </c>
    </row>
    <row r="225" spans="1:2" x14ac:dyDescent="0.25">
      <c r="A225" s="8">
        <v>45077</v>
      </c>
      <c r="B225">
        <v>-0.2</v>
      </c>
    </row>
    <row r="226" spans="1:2" x14ac:dyDescent="0.25">
      <c r="A226" s="8">
        <v>45107</v>
      </c>
      <c r="B226">
        <v>-0.41</v>
      </c>
    </row>
    <row r="227" spans="1:2" x14ac:dyDescent="0.25">
      <c r="A227" s="8">
        <v>45138</v>
      </c>
      <c r="B227">
        <v>0.11</v>
      </c>
    </row>
    <row r="228" spans="1:2" x14ac:dyDescent="0.25">
      <c r="A228" s="8">
        <v>45169</v>
      </c>
      <c r="B228">
        <v>-0.19</v>
      </c>
    </row>
    <row r="229" spans="1:2" x14ac:dyDescent="0.25">
      <c r="A229" s="8">
        <v>45199</v>
      </c>
      <c r="B229">
        <v>-0.03</v>
      </c>
    </row>
    <row r="230" spans="1:2" x14ac:dyDescent="0.25">
      <c r="A230" s="8">
        <v>45230</v>
      </c>
      <c r="B230">
        <v>-0.51</v>
      </c>
    </row>
    <row r="231" spans="1:2" x14ac:dyDescent="0.25">
      <c r="A231" s="8">
        <v>45260</v>
      </c>
      <c r="B231">
        <v>0.15</v>
      </c>
    </row>
    <row r="232" spans="1:2" x14ac:dyDescent="0.25">
      <c r="A232" s="8">
        <v>45291</v>
      </c>
      <c r="B232">
        <v>-0.1</v>
      </c>
    </row>
    <row r="233" spans="1:2" x14ac:dyDescent="0.25">
      <c r="A233" s="8">
        <v>45322</v>
      </c>
      <c r="B233">
        <v>-0.99</v>
      </c>
    </row>
    <row r="234" spans="1:2" x14ac:dyDescent="0.25">
      <c r="A234" s="8">
        <v>45351</v>
      </c>
      <c r="B234">
        <v>0.28000000000000003</v>
      </c>
    </row>
    <row r="235" spans="1:2" x14ac:dyDescent="0.25">
      <c r="A235" s="8">
        <v>45382</v>
      </c>
      <c r="B235">
        <v>-0.13</v>
      </c>
    </row>
    <row r="236" spans="1:2" x14ac:dyDescent="0.25">
      <c r="A236" s="8">
        <v>45412</v>
      </c>
      <c r="B236">
        <v>-0.34</v>
      </c>
    </row>
    <row r="237" spans="1:2" x14ac:dyDescent="0.25">
      <c r="A237" s="8">
        <v>45443</v>
      </c>
      <c r="B237">
        <v>0.2</v>
      </c>
    </row>
    <row r="238" spans="1:2" x14ac:dyDescent="0.25">
      <c r="A238" s="8">
        <v>45473</v>
      </c>
      <c r="B238">
        <v>-0.24</v>
      </c>
    </row>
    <row r="239" spans="1:2" x14ac:dyDescent="0.25">
      <c r="A239" s="8">
        <v>45504</v>
      </c>
      <c r="B239">
        <v>-0.38</v>
      </c>
    </row>
    <row r="240" spans="1:2" x14ac:dyDescent="0.25">
      <c r="A240" s="8">
        <v>45535</v>
      </c>
      <c r="B240">
        <v>-7.0000000000000007E-2</v>
      </c>
    </row>
    <row r="241" spans="1:2" x14ac:dyDescent="0.25">
      <c r="A241" s="8">
        <v>45565</v>
      </c>
      <c r="B241">
        <v>-0.25</v>
      </c>
    </row>
    <row r="242" spans="1:2" x14ac:dyDescent="0.25">
      <c r="A242" s="8">
        <v>45596</v>
      </c>
      <c r="B242">
        <v>-0.54</v>
      </c>
    </row>
    <row r="243" spans="1:2" x14ac:dyDescent="0.25">
      <c r="A243" s="8">
        <v>45626</v>
      </c>
      <c r="B243">
        <v>0</v>
      </c>
    </row>
    <row r="244" spans="1:2" x14ac:dyDescent="0.25">
      <c r="A244" s="8">
        <v>45657</v>
      </c>
      <c r="B244">
        <v>0.35</v>
      </c>
    </row>
    <row r="245" spans="1:2" x14ac:dyDescent="0.25">
      <c r="A245" s="8">
        <v>45688</v>
      </c>
      <c r="B245">
        <v>-0.43</v>
      </c>
    </row>
    <row r="246" spans="1:2" x14ac:dyDescent="0.25">
      <c r="A246" s="8">
        <v>45716</v>
      </c>
      <c r="B246">
        <v>0.42</v>
      </c>
    </row>
    <row r="247" spans="1:2" x14ac:dyDescent="0.25">
      <c r="A247" s="8">
        <v>45747</v>
      </c>
      <c r="B247">
        <v>0.18</v>
      </c>
    </row>
    <row r="248" spans="1:2" x14ac:dyDescent="0.25">
      <c r="A248" s="8">
        <v>45777</v>
      </c>
      <c r="B248">
        <v>-0.36</v>
      </c>
    </row>
    <row r="249" spans="1:2" x14ac:dyDescent="0.25">
      <c r="A249" s="8">
        <v>45808</v>
      </c>
      <c r="B249">
        <v>-0.28000000000000003</v>
      </c>
    </row>
    <row r="250" spans="1:2" x14ac:dyDescent="0.25">
      <c r="A250" s="8">
        <v>45838</v>
      </c>
      <c r="B250">
        <v>-0.08</v>
      </c>
    </row>
    <row r="251" spans="1:2" x14ac:dyDescent="0.25">
      <c r="A251" s="8">
        <v>45869</v>
      </c>
      <c r="B251">
        <v>0.01</v>
      </c>
    </row>
    <row r="252" spans="1:2" x14ac:dyDescent="0.25">
      <c r="A252" s="8">
        <v>45900</v>
      </c>
      <c r="B252">
        <v>-0.36</v>
      </c>
    </row>
    <row r="253" spans="1:2" x14ac:dyDescent="0.25">
      <c r="A253" s="8">
        <v>45930</v>
      </c>
      <c r="B253">
        <v>-0.24</v>
      </c>
    </row>
    <row r="254" spans="1:2" x14ac:dyDescent="0.25">
      <c r="A254" s="8">
        <v>45961</v>
      </c>
      <c r="B254">
        <v>-0.42</v>
      </c>
    </row>
    <row r="255" spans="1:2" x14ac:dyDescent="0.25">
      <c r="A255" s="8">
        <v>45991</v>
      </c>
      <c r="B255">
        <v>-0.04</v>
      </c>
    </row>
    <row r="271" spans="1:4" x14ac:dyDescent="0.25">
      <c r="A271" s="6" t="s">
        <v>374</v>
      </c>
      <c r="B271" s="6" t="s">
        <v>375</v>
      </c>
      <c r="C271" s="6" t="s">
        <v>376</v>
      </c>
      <c r="D271" s="6" t="s">
        <v>54</v>
      </c>
    </row>
    <row r="272" spans="1:4" x14ac:dyDescent="0.25">
      <c r="A272" s="8">
        <f ca="1">_xll.BDH("SBOITOTL Index","PX_LAST","02/01/2016",TODAY(),"Per=M","cols=2;rows=121")</f>
        <v>42400</v>
      </c>
      <c r="B272">
        <v>93.9</v>
      </c>
    </row>
    <row r="273" spans="1:2" x14ac:dyDescent="0.25">
      <c r="A273" s="8">
        <v>42429</v>
      </c>
      <c r="B273">
        <v>92.9</v>
      </c>
    </row>
    <row r="274" spans="1:2" x14ac:dyDescent="0.25">
      <c r="A274" s="8">
        <v>42460</v>
      </c>
      <c r="B274">
        <v>92.6</v>
      </c>
    </row>
    <row r="275" spans="1:2" x14ac:dyDescent="0.25">
      <c r="A275" s="8">
        <v>42490</v>
      </c>
      <c r="B275">
        <v>93.6</v>
      </c>
    </row>
    <row r="276" spans="1:2" x14ac:dyDescent="0.25">
      <c r="A276" s="8">
        <v>42521</v>
      </c>
      <c r="B276">
        <v>93.8</v>
      </c>
    </row>
    <row r="277" spans="1:2" x14ac:dyDescent="0.25">
      <c r="A277" s="8">
        <v>42551</v>
      </c>
      <c r="B277">
        <v>94.5</v>
      </c>
    </row>
    <row r="278" spans="1:2" x14ac:dyDescent="0.25">
      <c r="A278" s="8">
        <v>42582</v>
      </c>
      <c r="B278">
        <v>94.6</v>
      </c>
    </row>
    <row r="279" spans="1:2" x14ac:dyDescent="0.25">
      <c r="A279" s="8">
        <v>42613</v>
      </c>
      <c r="B279">
        <v>94.4</v>
      </c>
    </row>
    <row r="280" spans="1:2" x14ac:dyDescent="0.25">
      <c r="A280" s="8">
        <v>42643</v>
      </c>
      <c r="B280">
        <v>94.1</v>
      </c>
    </row>
    <row r="281" spans="1:2" x14ac:dyDescent="0.25">
      <c r="A281" s="8">
        <v>42674</v>
      </c>
      <c r="B281">
        <v>94.9</v>
      </c>
    </row>
    <row r="282" spans="1:2" x14ac:dyDescent="0.25">
      <c r="A282" s="8">
        <v>42704</v>
      </c>
      <c r="B282">
        <v>98.4</v>
      </c>
    </row>
    <row r="283" spans="1:2" x14ac:dyDescent="0.25">
      <c r="A283" s="8">
        <v>42735</v>
      </c>
      <c r="B283">
        <v>105.8</v>
      </c>
    </row>
    <row r="284" spans="1:2" x14ac:dyDescent="0.25">
      <c r="A284" s="8">
        <v>42766</v>
      </c>
      <c r="B284">
        <v>105.9</v>
      </c>
    </row>
    <row r="285" spans="1:2" x14ac:dyDescent="0.25">
      <c r="A285" s="8">
        <v>42794</v>
      </c>
      <c r="B285">
        <v>105.3</v>
      </c>
    </row>
    <row r="286" spans="1:2" x14ac:dyDescent="0.25">
      <c r="A286" s="8">
        <v>42825</v>
      </c>
      <c r="B286">
        <v>104.7</v>
      </c>
    </row>
    <row r="287" spans="1:2" x14ac:dyDescent="0.25">
      <c r="A287" s="8">
        <v>42855</v>
      </c>
      <c r="B287">
        <v>104.5</v>
      </c>
    </row>
    <row r="288" spans="1:2" x14ac:dyDescent="0.25">
      <c r="A288" s="8">
        <v>42886</v>
      </c>
      <c r="B288">
        <v>104.5</v>
      </c>
    </row>
    <row r="289" spans="1:2" x14ac:dyDescent="0.25">
      <c r="A289" s="8">
        <v>42916</v>
      </c>
      <c r="B289">
        <v>103.6</v>
      </c>
    </row>
    <row r="290" spans="1:2" x14ac:dyDescent="0.25">
      <c r="A290" s="8">
        <v>42947</v>
      </c>
      <c r="B290">
        <v>105.2</v>
      </c>
    </row>
    <row r="291" spans="1:2" x14ac:dyDescent="0.25">
      <c r="A291" s="8">
        <v>42978</v>
      </c>
      <c r="B291">
        <v>105.3</v>
      </c>
    </row>
    <row r="292" spans="1:2" x14ac:dyDescent="0.25">
      <c r="A292" s="8">
        <v>43008</v>
      </c>
      <c r="B292">
        <v>103</v>
      </c>
    </row>
    <row r="293" spans="1:2" x14ac:dyDescent="0.25">
      <c r="A293" s="8">
        <v>43039</v>
      </c>
      <c r="B293">
        <v>103.8</v>
      </c>
    </row>
    <row r="294" spans="1:2" x14ac:dyDescent="0.25">
      <c r="A294" s="8">
        <v>43069</v>
      </c>
      <c r="B294">
        <v>107.5</v>
      </c>
    </row>
    <row r="295" spans="1:2" x14ac:dyDescent="0.25">
      <c r="A295" s="8">
        <v>43100</v>
      </c>
      <c r="B295">
        <v>104.9</v>
      </c>
    </row>
    <row r="296" spans="1:2" x14ac:dyDescent="0.25">
      <c r="A296" s="8">
        <v>43131</v>
      </c>
      <c r="B296">
        <v>106.9</v>
      </c>
    </row>
    <row r="297" spans="1:2" x14ac:dyDescent="0.25">
      <c r="A297" s="8">
        <v>43159</v>
      </c>
      <c r="B297">
        <v>107.6</v>
      </c>
    </row>
    <row r="298" spans="1:2" x14ac:dyDescent="0.25">
      <c r="A298" s="8">
        <v>43190</v>
      </c>
      <c r="B298">
        <v>104.7</v>
      </c>
    </row>
    <row r="299" spans="1:2" x14ac:dyDescent="0.25">
      <c r="A299" s="8">
        <v>43220</v>
      </c>
      <c r="B299">
        <v>104.8</v>
      </c>
    </row>
    <row r="300" spans="1:2" x14ac:dyDescent="0.25">
      <c r="A300" s="8">
        <v>43251</v>
      </c>
      <c r="B300">
        <v>107.8</v>
      </c>
    </row>
    <row r="301" spans="1:2" x14ac:dyDescent="0.25">
      <c r="A301" s="8">
        <v>43281</v>
      </c>
      <c r="B301">
        <v>107.2</v>
      </c>
    </row>
    <row r="302" spans="1:2" x14ac:dyDescent="0.25">
      <c r="A302" s="8">
        <v>43312</v>
      </c>
      <c r="B302">
        <v>107.9</v>
      </c>
    </row>
    <row r="303" spans="1:2" x14ac:dyDescent="0.25">
      <c r="A303" s="8">
        <v>43343</v>
      </c>
      <c r="B303">
        <v>108.8</v>
      </c>
    </row>
    <row r="304" spans="1:2" x14ac:dyDescent="0.25">
      <c r="A304" s="8">
        <v>43373</v>
      </c>
      <c r="B304">
        <v>107.9</v>
      </c>
    </row>
    <row r="305" spans="1:2" x14ac:dyDescent="0.25">
      <c r="A305" s="8">
        <v>43404</v>
      </c>
      <c r="B305">
        <v>107.4</v>
      </c>
    </row>
    <row r="306" spans="1:2" x14ac:dyDescent="0.25">
      <c r="A306" s="8">
        <v>43434</v>
      </c>
      <c r="B306">
        <v>104.8</v>
      </c>
    </row>
    <row r="307" spans="1:2" x14ac:dyDescent="0.25">
      <c r="A307" s="8">
        <v>43465</v>
      </c>
      <c r="B307">
        <v>104.4</v>
      </c>
    </row>
    <row r="308" spans="1:2" x14ac:dyDescent="0.25">
      <c r="A308" s="8">
        <v>43496</v>
      </c>
      <c r="B308">
        <v>101.2</v>
      </c>
    </row>
    <row r="309" spans="1:2" x14ac:dyDescent="0.25">
      <c r="A309" s="8">
        <v>43524</v>
      </c>
      <c r="B309">
        <v>101.7</v>
      </c>
    </row>
    <row r="310" spans="1:2" x14ac:dyDescent="0.25">
      <c r="A310" s="8">
        <v>43555</v>
      </c>
      <c r="B310">
        <v>101.8</v>
      </c>
    </row>
    <row r="311" spans="1:2" x14ac:dyDescent="0.25">
      <c r="A311" s="8">
        <v>43585</v>
      </c>
      <c r="B311">
        <v>103.5</v>
      </c>
    </row>
    <row r="312" spans="1:2" x14ac:dyDescent="0.25">
      <c r="A312" s="8">
        <v>43616</v>
      </c>
      <c r="B312">
        <v>105</v>
      </c>
    </row>
    <row r="313" spans="1:2" x14ac:dyDescent="0.25">
      <c r="A313" s="8">
        <v>43646</v>
      </c>
      <c r="B313">
        <v>103.3</v>
      </c>
    </row>
    <row r="314" spans="1:2" x14ac:dyDescent="0.25">
      <c r="A314" s="8">
        <v>43677</v>
      </c>
      <c r="B314">
        <v>104.7</v>
      </c>
    </row>
    <row r="315" spans="1:2" x14ac:dyDescent="0.25">
      <c r="A315" s="8">
        <v>43708</v>
      </c>
      <c r="B315">
        <v>103.1</v>
      </c>
    </row>
    <row r="316" spans="1:2" x14ac:dyDescent="0.25">
      <c r="A316" s="8">
        <v>43738</v>
      </c>
      <c r="B316">
        <v>101.8</v>
      </c>
    </row>
    <row r="317" spans="1:2" x14ac:dyDescent="0.25">
      <c r="A317" s="8">
        <v>43769</v>
      </c>
      <c r="B317">
        <v>102.4</v>
      </c>
    </row>
    <row r="318" spans="1:2" x14ac:dyDescent="0.25">
      <c r="A318" s="8">
        <v>43799</v>
      </c>
      <c r="B318">
        <v>104.7</v>
      </c>
    </row>
    <row r="319" spans="1:2" x14ac:dyDescent="0.25">
      <c r="A319" s="8">
        <v>43830</v>
      </c>
      <c r="B319">
        <v>102.7</v>
      </c>
    </row>
    <row r="320" spans="1:2" x14ac:dyDescent="0.25">
      <c r="A320" s="8">
        <v>43861</v>
      </c>
      <c r="B320">
        <v>104.3</v>
      </c>
    </row>
    <row r="321" spans="1:2" x14ac:dyDescent="0.25">
      <c r="A321" s="8">
        <v>43890</v>
      </c>
      <c r="B321">
        <v>104.5</v>
      </c>
    </row>
    <row r="322" spans="1:2" x14ac:dyDescent="0.25">
      <c r="A322" s="8">
        <v>43921</v>
      </c>
      <c r="B322">
        <v>96.4</v>
      </c>
    </row>
    <row r="323" spans="1:2" x14ac:dyDescent="0.25">
      <c r="A323" s="8">
        <v>43951</v>
      </c>
      <c r="B323">
        <v>90.9</v>
      </c>
    </row>
    <row r="324" spans="1:2" x14ac:dyDescent="0.25">
      <c r="A324" s="8">
        <v>43982</v>
      </c>
      <c r="B324">
        <v>94.4</v>
      </c>
    </row>
    <row r="325" spans="1:2" x14ac:dyDescent="0.25">
      <c r="A325" s="8">
        <v>44012</v>
      </c>
      <c r="B325">
        <v>100.6</v>
      </c>
    </row>
    <row r="326" spans="1:2" x14ac:dyDescent="0.25">
      <c r="A326" s="8">
        <v>44043</v>
      </c>
      <c r="B326">
        <v>98.8</v>
      </c>
    </row>
    <row r="327" spans="1:2" x14ac:dyDescent="0.25">
      <c r="A327" s="8">
        <v>44074</v>
      </c>
      <c r="B327">
        <v>100.2</v>
      </c>
    </row>
    <row r="328" spans="1:2" x14ac:dyDescent="0.25">
      <c r="A328" s="8">
        <v>44104</v>
      </c>
      <c r="B328">
        <v>104</v>
      </c>
    </row>
    <row r="329" spans="1:2" x14ac:dyDescent="0.25">
      <c r="A329" s="8">
        <v>44135</v>
      </c>
      <c r="B329">
        <v>104</v>
      </c>
    </row>
    <row r="330" spans="1:2" x14ac:dyDescent="0.25">
      <c r="A330" s="8">
        <v>44165</v>
      </c>
      <c r="B330">
        <v>101.4</v>
      </c>
    </row>
    <row r="331" spans="1:2" x14ac:dyDescent="0.25">
      <c r="A331" s="8">
        <v>44196</v>
      </c>
      <c r="B331">
        <v>95.9</v>
      </c>
    </row>
    <row r="332" spans="1:2" x14ac:dyDescent="0.25">
      <c r="A332" s="8">
        <v>44227</v>
      </c>
      <c r="B332">
        <v>95</v>
      </c>
    </row>
    <row r="333" spans="1:2" x14ac:dyDescent="0.25">
      <c r="A333" s="8">
        <v>44255</v>
      </c>
      <c r="B333">
        <v>95.8</v>
      </c>
    </row>
    <row r="334" spans="1:2" x14ac:dyDescent="0.25">
      <c r="A334" s="8">
        <v>44286</v>
      </c>
      <c r="B334">
        <v>98.2</v>
      </c>
    </row>
    <row r="335" spans="1:2" x14ac:dyDescent="0.25">
      <c r="A335" s="8">
        <v>44316</v>
      </c>
      <c r="B335">
        <v>99.8</v>
      </c>
    </row>
    <row r="336" spans="1:2" x14ac:dyDescent="0.25">
      <c r="A336" s="8">
        <v>44347</v>
      </c>
      <c r="B336">
        <v>99.6</v>
      </c>
    </row>
    <row r="337" spans="1:2" x14ac:dyDescent="0.25">
      <c r="A337" s="8">
        <v>44377</v>
      </c>
      <c r="B337">
        <v>102.5</v>
      </c>
    </row>
    <row r="338" spans="1:2" x14ac:dyDescent="0.25">
      <c r="A338" s="8">
        <v>44408</v>
      </c>
      <c r="B338">
        <v>99.7</v>
      </c>
    </row>
    <row r="339" spans="1:2" x14ac:dyDescent="0.25">
      <c r="A339" s="8">
        <v>44439</v>
      </c>
      <c r="B339">
        <v>100.1</v>
      </c>
    </row>
    <row r="340" spans="1:2" x14ac:dyDescent="0.25">
      <c r="A340" s="8">
        <v>44469</v>
      </c>
      <c r="B340">
        <v>99.1</v>
      </c>
    </row>
    <row r="341" spans="1:2" x14ac:dyDescent="0.25">
      <c r="A341" s="8">
        <v>44500</v>
      </c>
      <c r="B341">
        <v>98.2</v>
      </c>
    </row>
    <row r="342" spans="1:2" x14ac:dyDescent="0.25">
      <c r="A342" s="8">
        <v>44530</v>
      </c>
      <c r="B342">
        <v>98.4</v>
      </c>
    </row>
    <row r="343" spans="1:2" x14ac:dyDescent="0.25">
      <c r="A343" s="8">
        <v>44561</v>
      </c>
      <c r="B343">
        <v>98.9</v>
      </c>
    </row>
    <row r="344" spans="1:2" x14ac:dyDescent="0.25">
      <c r="A344" s="8">
        <v>44592</v>
      </c>
      <c r="B344">
        <v>97.1</v>
      </c>
    </row>
    <row r="345" spans="1:2" x14ac:dyDescent="0.25">
      <c r="A345" s="8">
        <v>44620</v>
      </c>
      <c r="B345">
        <v>95.7</v>
      </c>
    </row>
    <row r="346" spans="1:2" x14ac:dyDescent="0.25">
      <c r="A346" s="8">
        <v>44651</v>
      </c>
      <c r="B346">
        <v>93.2</v>
      </c>
    </row>
    <row r="347" spans="1:2" x14ac:dyDescent="0.25">
      <c r="A347" s="8">
        <v>44681</v>
      </c>
      <c r="B347">
        <v>93.2</v>
      </c>
    </row>
    <row r="348" spans="1:2" x14ac:dyDescent="0.25">
      <c r="A348" s="8">
        <v>44712</v>
      </c>
      <c r="B348">
        <v>93.1</v>
      </c>
    </row>
    <row r="349" spans="1:2" x14ac:dyDescent="0.25">
      <c r="A349" s="8">
        <v>44742</v>
      </c>
      <c r="B349">
        <v>89.5</v>
      </c>
    </row>
    <row r="350" spans="1:2" x14ac:dyDescent="0.25">
      <c r="A350" s="8">
        <v>44773</v>
      </c>
      <c r="B350">
        <v>89.9</v>
      </c>
    </row>
    <row r="351" spans="1:2" x14ac:dyDescent="0.25">
      <c r="A351" s="8">
        <v>44804</v>
      </c>
      <c r="B351">
        <v>91.8</v>
      </c>
    </row>
    <row r="352" spans="1:2" x14ac:dyDescent="0.25">
      <c r="A352" s="8">
        <v>44834</v>
      </c>
      <c r="B352">
        <v>92.1</v>
      </c>
    </row>
    <row r="353" spans="1:2" x14ac:dyDescent="0.25">
      <c r="A353" s="8">
        <v>44865</v>
      </c>
      <c r="B353">
        <v>91.3</v>
      </c>
    </row>
    <row r="354" spans="1:2" x14ac:dyDescent="0.25">
      <c r="A354" s="8">
        <v>44895</v>
      </c>
      <c r="B354">
        <v>91.9</v>
      </c>
    </row>
    <row r="355" spans="1:2" x14ac:dyDescent="0.25">
      <c r="A355" s="8">
        <v>44926</v>
      </c>
      <c r="B355">
        <v>89.8</v>
      </c>
    </row>
    <row r="356" spans="1:2" x14ac:dyDescent="0.25">
      <c r="A356" s="8">
        <v>44957</v>
      </c>
      <c r="B356">
        <v>90.3</v>
      </c>
    </row>
    <row r="357" spans="1:2" x14ac:dyDescent="0.25">
      <c r="A357" s="8">
        <v>44985</v>
      </c>
      <c r="B357">
        <v>90.9</v>
      </c>
    </row>
    <row r="358" spans="1:2" x14ac:dyDescent="0.25">
      <c r="A358" s="8">
        <v>45016</v>
      </c>
      <c r="B358">
        <v>90.1</v>
      </c>
    </row>
    <row r="359" spans="1:2" x14ac:dyDescent="0.25">
      <c r="A359" s="8">
        <v>45046</v>
      </c>
      <c r="B359">
        <v>89</v>
      </c>
    </row>
    <row r="360" spans="1:2" x14ac:dyDescent="0.25">
      <c r="A360" s="8">
        <v>45077</v>
      </c>
      <c r="B360">
        <v>89.4</v>
      </c>
    </row>
    <row r="361" spans="1:2" x14ac:dyDescent="0.25">
      <c r="A361" s="8">
        <v>45107</v>
      </c>
      <c r="B361">
        <v>91</v>
      </c>
    </row>
    <row r="362" spans="1:2" x14ac:dyDescent="0.25">
      <c r="A362" s="8">
        <v>45138</v>
      </c>
      <c r="B362">
        <v>91.9</v>
      </c>
    </row>
    <row r="363" spans="1:2" x14ac:dyDescent="0.25">
      <c r="A363" s="8">
        <v>45169</v>
      </c>
      <c r="B363">
        <v>91.3</v>
      </c>
    </row>
    <row r="364" spans="1:2" x14ac:dyDescent="0.25">
      <c r="A364" s="8">
        <v>45199</v>
      </c>
      <c r="B364">
        <v>90.8</v>
      </c>
    </row>
    <row r="365" spans="1:2" x14ac:dyDescent="0.25">
      <c r="A365" s="8">
        <v>45230</v>
      </c>
      <c r="B365">
        <v>90.7</v>
      </c>
    </row>
    <row r="366" spans="1:2" x14ac:dyDescent="0.25">
      <c r="A366" s="8">
        <v>45260</v>
      </c>
      <c r="B366">
        <v>90.6</v>
      </c>
    </row>
    <row r="367" spans="1:2" x14ac:dyDescent="0.25">
      <c r="A367" s="8">
        <v>45291</v>
      </c>
      <c r="B367">
        <v>91.9</v>
      </c>
    </row>
    <row r="368" spans="1:2" x14ac:dyDescent="0.25">
      <c r="A368" s="8">
        <v>45322</v>
      </c>
      <c r="B368">
        <v>89.9</v>
      </c>
    </row>
    <row r="369" spans="1:2" x14ac:dyDescent="0.25">
      <c r="A369" s="8">
        <v>45351</v>
      </c>
      <c r="B369">
        <v>89.4</v>
      </c>
    </row>
    <row r="370" spans="1:2" x14ac:dyDescent="0.25">
      <c r="A370" s="8">
        <v>45382</v>
      </c>
      <c r="B370">
        <v>88.5</v>
      </c>
    </row>
    <row r="371" spans="1:2" x14ac:dyDescent="0.25">
      <c r="A371" s="8">
        <v>45412</v>
      </c>
      <c r="B371">
        <v>89.7</v>
      </c>
    </row>
    <row r="372" spans="1:2" x14ac:dyDescent="0.25">
      <c r="A372" s="8">
        <v>45443</v>
      </c>
      <c r="B372">
        <v>90.5</v>
      </c>
    </row>
    <row r="373" spans="1:2" x14ac:dyDescent="0.25">
      <c r="A373" s="8">
        <v>45473</v>
      </c>
      <c r="B373">
        <v>91.5</v>
      </c>
    </row>
    <row r="374" spans="1:2" x14ac:dyDescent="0.25">
      <c r="A374" s="8">
        <v>45504</v>
      </c>
      <c r="B374">
        <v>93.7</v>
      </c>
    </row>
    <row r="375" spans="1:2" x14ac:dyDescent="0.25">
      <c r="A375" s="8">
        <v>45535</v>
      </c>
      <c r="B375">
        <v>91.2</v>
      </c>
    </row>
    <row r="376" spans="1:2" x14ac:dyDescent="0.25">
      <c r="A376" s="8">
        <v>45565</v>
      </c>
      <c r="B376">
        <v>91.5</v>
      </c>
    </row>
    <row r="377" spans="1:2" x14ac:dyDescent="0.25">
      <c r="A377" s="8">
        <v>45596</v>
      </c>
      <c r="B377">
        <v>93.7</v>
      </c>
    </row>
    <row r="378" spans="1:2" x14ac:dyDescent="0.25">
      <c r="A378" s="8">
        <v>45626</v>
      </c>
      <c r="B378">
        <v>101.7</v>
      </c>
    </row>
    <row r="379" spans="1:2" x14ac:dyDescent="0.25">
      <c r="A379" s="8">
        <v>45657</v>
      </c>
      <c r="B379">
        <v>105.1</v>
      </c>
    </row>
    <row r="380" spans="1:2" x14ac:dyDescent="0.25">
      <c r="A380" s="8">
        <v>45688</v>
      </c>
      <c r="B380">
        <v>102.8</v>
      </c>
    </row>
    <row r="381" spans="1:2" x14ac:dyDescent="0.25">
      <c r="A381" s="8">
        <v>45716</v>
      </c>
      <c r="B381">
        <v>100.7</v>
      </c>
    </row>
    <row r="382" spans="1:2" x14ac:dyDescent="0.25">
      <c r="A382" s="8">
        <v>45747</v>
      </c>
      <c r="B382">
        <v>97.4</v>
      </c>
    </row>
    <row r="383" spans="1:2" x14ac:dyDescent="0.25">
      <c r="A383" s="8">
        <v>45777</v>
      </c>
      <c r="B383">
        <v>95.8</v>
      </c>
    </row>
    <row r="384" spans="1:2" x14ac:dyDescent="0.25">
      <c r="A384" s="8">
        <v>45808</v>
      </c>
      <c r="B384">
        <v>98.8</v>
      </c>
    </row>
    <row r="385" spans="1:2" x14ac:dyDescent="0.25">
      <c r="A385" s="8">
        <v>45838</v>
      </c>
      <c r="B385">
        <v>98.6</v>
      </c>
    </row>
    <row r="386" spans="1:2" x14ac:dyDescent="0.25">
      <c r="A386" s="8">
        <v>45869</v>
      </c>
      <c r="B386">
        <v>100.3</v>
      </c>
    </row>
    <row r="387" spans="1:2" x14ac:dyDescent="0.25">
      <c r="A387" s="8">
        <v>45900</v>
      </c>
      <c r="B387">
        <v>100.8</v>
      </c>
    </row>
    <row r="388" spans="1:2" x14ac:dyDescent="0.25">
      <c r="A388" s="8">
        <v>45930</v>
      </c>
      <c r="B388">
        <v>98.8</v>
      </c>
    </row>
    <row r="389" spans="1:2" x14ac:dyDescent="0.25">
      <c r="A389" s="8">
        <v>45961</v>
      </c>
      <c r="B389">
        <v>98.2</v>
      </c>
    </row>
    <row r="390" spans="1:2" x14ac:dyDescent="0.25">
      <c r="A390" s="8">
        <v>45991</v>
      </c>
      <c r="B390">
        <v>99</v>
      </c>
    </row>
    <row r="391" spans="1:2" x14ac:dyDescent="0.25">
      <c r="A391" s="8">
        <v>46022</v>
      </c>
      <c r="B391">
        <v>99.5</v>
      </c>
    </row>
    <row r="392" spans="1:2" x14ac:dyDescent="0.25">
      <c r="A392" s="8">
        <v>46053</v>
      </c>
      <c r="B392">
        <v>99.3</v>
      </c>
    </row>
    <row r="406" spans="1:4" x14ac:dyDescent="0.25">
      <c r="A406" s="6" t="s">
        <v>377</v>
      </c>
      <c r="B406" s="6" t="s">
        <v>378</v>
      </c>
      <c r="C406" s="6" t="s">
        <v>379</v>
      </c>
      <c r="D406" s="6" t="s">
        <v>54</v>
      </c>
    </row>
    <row r="407" spans="1:4" x14ac:dyDescent="0.25">
      <c r="A407" s="8">
        <f ca="1">_xll.BDH("CONSSENT Index","PX_LAST","02/01/2016",TODAY(),"Per=M","cols=2;rows=121")</f>
        <v>42400</v>
      </c>
      <c r="B407">
        <v>92</v>
      </c>
    </row>
    <row r="408" spans="1:4" x14ac:dyDescent="0.25">
      <c r="A408" s="8">
        <v>42429</v>
      </c>
      <c r="B408">
        <v>91.7</v>
      </c>
    </row>
    <row r="409" spans="1:4" x14ac:dyDescent="0.25">
      <c r="A409" s="8">
        <v>42460</v>
      </c>
      <c r="B409">
        <v>91</v>
      </c>
    </row>
    <row r="410" spans="1:4" x14ac:dyDescent="0.25">
      <c r="A410" s="8">
        <v>42490</v>
      </c>
      <c r="B410">
        <v>89</v>
      </c>
    </row>
    <row r="411" spans="1:4" x14ac:dyDescent="0.25">
      <c r="A411" s="8">
        <v>42521</v>
      </c>
      <c r="B411">
        <v>94.7</v>
      </c>
    </row>
    <row r="412" spans="1:4" x14ac:dyDescent="0.25">
      <c r="A412" s="8">
        <v>42551</v>
      </c>
      <c r="B412">
        <v>93.5</v>
      </c>
    </row>
    <row r="413" spans="1:4" x14ac:dyDescent="0.25">
      <c r="A413" s="8">
        <v>42582</v>
      </c>
      <c r="B413">
        <v>90</v>
      </c>
    </row>
    <row r="414" spans="1:4" x14ac:dyDescent="0.25">
      <c r="A414" s="8">
        <v>42613</v>
      </c>
      <c r="B414">
        <v>89.8</v>
      </c>
    </row>
    <row r="415" spans="1:4" x14ac:dyDescent="0.25">
      <c r="A415" s="8">
        <v>42643</v>
      </c>
      <c r="B415">
        <v>91.2</v>
      </c>
    </row>
    <row r="416" spans="1:4" x14ac:dyDescent="0.25">
      <c r="A416" s="8">
        <v>42674</v>
      </c>
      <c r="B416">
        <v>87.2</v>
      </c>
    </row>
    <row r="417" spans="1:2" x14ac:dyDescent="0.25">
      <c r="A417" s="8">
        <v>42704</v>
      </c>
      <c r="B417">
        <v>93.8</v>
      </c>
    </row>
    <row r="418" spans="1:2" x14ac:dyDescent="0.25">
      <c r="A418" s="8">
        <v>42735</v>
      </c>
      <c r="B418">
        <v>98.2</v>
      </c>
    </row>
    <row r="419" spans="1:2" x14ac:dyDescent="0.25">
      <c r="A419" s="8">
        <v>42766</v>
      </c>
      <c r="B419">
        <v>98.5</v>
      </c>
    </row>
    <row r="420" spans="1:2" x14ac:dyDescent="0.25">
      <c r="A420" s="8">
        <v>42794</v>
      </c>
      <c r="B420">
        <v>96.3</v>
      </c>
    </row>
    <row r="421" spans="1:2" x14ac:dyDescent="0.25">
      <c r="A421" s="8">
        <v>42825</v>
      </c>
      <c r="B421">
        <v>96.9</v>
      </c>
    </row>
    <row r="422" spans="1:2" x14ac:dyDescent="0.25">
      <c r="A422" s="8">
        <v>42855</v>
      </c>
      <c r="B422">
        <v>97</v>
      </c>
    </row>
    <row r="423" spans="1:2" x14ac:dyDescent="0.25">
      <c r="A423" s="8">
        <v>42886</v>
      </c>
      <c r="B423">
        <v>97.1</v>
      </c>
    </row>
    <row r="424" spans="1:2" x14ac:dyDescent="0.25">
      <c r="A424" s="8">
        <v>42916</v>
      </c>
      <c r="B424">
        <v>95</v>
      </c>
    </row>
    <row r="425" spans="1:2" x14ac:dyDescent="0.25">
      <c r="A425" s="8">
        <v>42947</v>
      </c>
      <c r="B425">
        <v>93.4</v>
      </c>
    </row>
    <row r="426" spans="1:2" x14ac:dyDescent="0.25">
      <c r="A426" s="8">
        <v>42978</v>
      </c>
      <c r="B426">
        <v>96.8</v>
      </c>
    </row>
    <row r="427" spans="1:2" x14ac:dyDescent="0.25">
      <c r="A427" s="8">
        <v>43008</v>
      </c>
      <c r="B427">
        <v>95.1</v>
      </c>
    </row>
    <row r="428" spans="1:2" x14ac:dyDescent="0.25">
      <c r="A428" s="8">
        <v>43039</v>
      </c>
      <c r="B428">
        <v>100.7</v>
      </c>
    </row>
    <row r="429" spans="1:2" x14ac:dyDescent="0.25">
      <c r="A429" s="8">
        <v>43069</v>
      </c>
      <c r="B429">
        <v>98.5</v>
      </c>
    </row>
    <row r="430" spans="1:2" x14ac:dyDescent="0.25">
      <c r="A430" s="8">
        <v>43100</v>
      </c>
      <c r="B430">
        <v>95.9</v>
      </c>
    </row>
    <row r="431" spans="1:2" x14ac:dyDescent="0.25">
      <c r="A431" s="8">
        <v>43131</v>
      </c>
      <c r="B431">
        <v>95.7</v>
      </c>
    </row>
    <row r="432" spans="1:2" x14ac:dyDescent="0.25">
      <c r="A432" s="8">
        <v>43159</v>
      </c>
      <c r="B432">
        <v>99.7</v>
      </c>
    </row>
    <row r="433" spans="1:2" x14ac:dyDescent="0.25">
      <c r="A433" s="8">
        <v>43190</v>
      </c>
      <c r="B433">
        <v>101.4</v>
      </c>
    </row>
    <row r="434" spans="1:2" x14ac:dyDescent="0.25">
      <c r="A434" s="8">
        <v>43220</v>
      </c>
      <c r="B434">
        <v>98.8</v>
      </c>
    </row>
    <row r="435" spans="1:2" x14ac:dyDescent="0.25">
      <c r="A435" s="8">
        <v>43251</v>
      </c>
      <c r="B435">
        <v>98</v>
      </c>
    </row>
    <row r="436" spans="1:2" x14ac:dyDescent="0.25">
      <c r="A436" s="8">
        <v>43281</v>
      </c>
      <c r="B436">
        <v>98.2</v>
      </c>
    </row>
    <row r="437" spans="1:2" x14ac:dyDescent="0.25">
      <c r="A437" s="8">
        <v>43312</v>
      </c>
      <c r="B437">
        <v>97.9</v>
      </c>
    </row>
    <row r="438" spans="1:2" x14ac:dyDescent="0.25">
      <c r="A438" s="8">
        <v>43343</v>
      </c>
      <c r="B438">
        <v>96.2</v>
      </c>
    </row>
    <row r="439" spans="1:2" x14ac:dyDescent="0.25">
      <c r="A439" s="8">
        <v>43373</v>
      </c>
      <c r="B439">
        <v>100.1</v>
      </c>
    </row>
    <row r="440" spans="1:2" x14ac:dyDescent="0.25">
      <c r="A440" s="8">
        <v>43404</v>
      </c>
      <c r="B440">
        <v>98.6</v>
      </c>
    </row>
    <row r="441" spans="1:2" x14ac:dyDescent="0.25">
      <c r="A441" s="8">
        <v>43434</v>
      </c>
      <c r="B441">
        <v>97.5</v>
      </c>
    </row>
    <row r="442" spans="1:2" x14ac:dyDescent="0.25">
      <c r="A442" s="8">
        <v>43465</v>
      </c>
      <c r="B442">
        <v>98.3</v>
      </c>
    </row>
    <row r="443" spans="1:2" x14ac:dyDescent="0.25">
      <c r="A443" s="8">
        <v>43496</v>
      </c>
      <c r="B443">
        <v>91.2</v>
      </c>
    </row>
    <row r="444" spans="1:2" x14ac:dyDescent="0.25">
      <c r="A444" s="8">
        <v>43524</v>
      </c>
      <c r="B444">
        <v>93.8</v>
      </c>
    </row>
    <row r="445" spans="1:2" x14ac:dyDescent="0.25">
      <c r="A445" s="8">
        <v>43555</v>
      </c>
      <c r="B445">
        <v>98.4</v>
      </c>
    </row>
    <row r="446" spans="1:2" x14ac:dyDescent="0.25">
      <c r="A446" s="8">
        <v>43585</v>
      </c>
      <c r="B446">
        <v>97.2</v>
      </c>
    </row>
    <row r="447" spans="1:2" x14ac:dyDescent="0.25">
      <c r="A447" s="8">
        <v>43616</v>
      </c>
      <c r="B447">
        <v>100</v>
      </c>
    </row>
    <row r="448" spans="1:2" x14ac:dyDescent="0.25">
      <c r="A448" s="8">
        <v>43646</v>
      </c>
      <c r="B448">
        <v>98.2</v>
      </c>
    </row>
    <row r="449" spans="1:2" x14ac:dyDescent="0.25">
      <c r="A449" s="8">
        <v>43677</v>
      </c>
      <c r="B449">
        <v>98.4</v>
      </c>
    </row>
    <row r="450" spans="1:2" x14ac:dyDescent="0.25">
      <c r="A450" s="8">
        <v>43708</v>
      </c>
      <c r="B450">
        <v>89.8</v>
      </c>
    </row>
    <row r="451" spans="1:2" x14ac:dyDescent="0.25">
      <c r="A451" s="8">
        <v>43738</v>
      </c>
      <c r="B451">
        <v>93.2</v>
      </c>
    </row>
    <row r="452" spans="1:2" x14ac:dyDescent="0.25">
      <c r="A452" s="8">
        <v>43769</v>
      </c>
      <c r="B452">
        <v>95.5</v>
      </c>
    </row>
    <row r="453" spans="1:2" x14ac:dyDescent="0.25">
      <c r="A453" s="8">
        <v>43799</v>
      </c>
      <c r="B453">
        <v>96.8</v>
      </c>
    </row>
    <row r="454" spans="1:2" x14ac:dyDescent="0.25">
      <c r="A454" s="8">
        <v>43830</v>
      </c>
      <c r="B454">
        <v>99.3</v>
      </c>
    </row>
    <row r="455" spans="1:2" x14ac:dyDescent="0.25">
      <c r="A455" s="8">
        <v>43861</v>
      </c>
      <c r="B455">
        <v>99.8</v>
      </c>
    </row>
    <row r="456" spans="1:2" x14ac:dyDescent="0.25">
      <c r="A456" s="8">
        <v>43890</v>
      </c>
      <c r="B456">
        <v>101</v>
      </c>
    </row>
    <row r="457" spans="1:2" x14ac:dyDescent="0.25">
      <c r="A457" s="8">
        <v>43921</v>
      </c>
      <c r="B457">
        <v>89.1</v>
      </c>
    </row>
    <row r="458" spans="1:2" x14ac:dyDescent="0.25">
      <c r="A458" s="8">
        <v>43951</v>
      </c>
      <c r="B458">
        <v>71.8</v>
      </c>
    </row>
    <row r="459" spans="1:2" x14ac:dyDescent="0.25">
      <c r="A459" s="8">
        <v>43982</v>
      </c>
      <c r="B459">
        <v>72.3</v>
      </c>
    </row>
    <row r="460" spans="1:2" x14ac:dyDescent="0.25">
      <c r="A460" s="8">
        <v>44012</v>
      </c>
      <c r="B460">
        <v>78.099999999999994</v>
      </c>
    </row>
    <row r="461" spans="1:2" x14ac:dyDescent="0.25">
      <c r="A461" s="8">
        <v>44043</v>
      </c>
      <c r="B461">
        <v>72.5</v>
      </c>
    </row>
    <row r="462" spans="1:2" x14ac:dyDescent="0.25">
      <c r="A462" s="8">
        <v>44074</v>
      </c>
      <c r="B462">
        <v>74.099999999999994</v>
      </c>
    </row>
    <row r="463" spans="1:2" x14ac:dyDescent="0.25">
      <c r="A463" s="8">
        <v>44104</v>
      </c>
      <c r="B463">
        <v>80.400000000000006</v>
      </c>
    </row>
    <row r="464" spans="1:2" x14ac:dyDescent="0.25">
      <c r="A464" s="8">
        <v>44135</v>
      </c>
      <c r="B464">
        <v>81.8</v>
      </c>
    </row>
    <row r="465" spans="1:2" x14ac:dyDescent="0.25">
      <c r="A465" s="8">
        <v>44165</v>
      </c>
      <c r="B465">
        <v>76.900000000000006</v>
      </c>
    </row>
    <row r="466" spans="1:2" x14ac:dyDescent="0.25">
      <c r="A466" s="8">
        <v>44196</v>
      </c>
      <c r="B466">
        <v>80.7</v>
      </c>
    </row>
    <row r="467" spans="1:2" x14ac:dyDescent="0.25">
      <c r="A467" s="8">
        <v>44227</v>
      </c>
      <c r="B467">
        <v>79</v>
      </c>
    </row>
    <row r="468" spans="1:2" x14ac:dyDescent="0.25">
      <c r="A468" s="8">
        <v>44255</v>
      </c>
      <c r="B468">
        <v>76.8</v>
      </c>
    </row>
    <row r="469" spans="1:2" x14ac:dyDescent="0.25">
      <c r="A469" s="8">
        <v>44286</v>
      </c>
      <c r="B469">
        <v>84.9</v>
      </c>
    </row>
    <row r="470" spans="1:2" x14ac:dyDescent="0.25">
      <c r="A470" s="8">
        <v>44316</v>
      </c>
      <c r="B470">
        <v>88.3</v>
      </c>
    </row>
    <row r="471" spans="1:2" x14ac:dyDescent="0.25">
      <c r="A471" s="8">
        <v>44347</v>
      </c>
      <c r="B471">
        <v>82.9</v>
      </c>
    </row>
    <row r="472" spans="1:2" x14ac:dyDescent="0.25">
      <c r="A472" s="8">
        <v>44377</v>
      </c>
      <c r="B472">
        <v>85.5</v>
      </c>
    </row>
    <row r="473" spans="1:2" x14ac:dyDescent="0.25">
      <c r="A473" s="8">
        <v>44408</v>
      </c>
      <c r="B473">
        <v>81.2</v>
      </c>
    </row>
    <row r="474" spans="1:2" x14ac:dyDescent="0.25">
      <c r="A474" s="8">
        <v>44439</v>
      </c>
      <c r="B474">
        <v>70.3</v>
      </c>
    </row>
    <row r="475" spans="1:2" x14ac:dyDescent="0.25">
      <c r="A475" s="8">
        <v>44469</v>
      </c>
      <c r="B475">
        <v>72.8</v>
      </c>
    </row>
    <row r="476" spans="1:2" x14ac:dyDescent="0.25">
      <c r="A476" s="8">
        <v>44500</v>
      </c>
      <c r="B476">
        <v>71.7</v>
      </c>
    </row>
    <row r="477" spans="1:2" x14ac:dyDescent="0.25">
      <c r="A477" s="8">
        <v>44530</v>
      </c>
      <c r="B477">
        <v>67.400000000000006</v>
      </c>
    </row>
    <row r="478" spans="1:2" x14ac:dyDescent="0.25">
      <c r="A478" s="8">
        <v>44561</v>
      </c>
      <c r="B478">
        <v>70.599999999999994</v>
      </c>
    </row>
    <row r="479" spans="1:2" x14ac:dyDescent="0.25">
      <c r="A479" s="8">
        <v>44592</v>
      </c>
      <c r="B479">
        <v>67.2</v>
      </c>
    </row>
    <row r="480" spans="1:2" x14ac:dyDescent="0.25">
      <c r="A480" s="8">
        <v>44620</v>
      </c>
      <c r="B480">
        <v>62.8</v>
      </c>
    </row>
    <row r="481" spans="1:2" x14ac:dyDescent="0.25">
      <c r="A481" s="8">
        <v>44651</v>
      </c>
      <c r="B481">
        <v>59.4</v>
      </c>
    </row>
    <row r="482" spans="1:2" x14ac:dyDescent="0.25">
      <c r="A482" s="8">
        <v>44681</v>
      </c>
      <c r="B482">
        <v>65.2</v>
      </c>
    </row>
    <row r="483" spans="1:2" x14ac:dyDescent="0.25">
      <c r="A483" s="8">
        <v>44712</v>
      </c>
      <c r="B483">
        <v>58.4</v>
      </c>
    </row>
    <row r="484" spans="1:2" x14ac:dyDescent="0.25">
      <c r="A484" s="8">
        <v>44742</v>
      </c>
      <c r="B484">
        <v>50</v>
      </c>
    </row>
    <row r="485" spans="1:2" x14ac:dyDescent="0.25">
      <c r="A485" s="8">
        <v>44773</v>
      </c>
      <c r="B485">
        <v>51.5</v>
      </c>
    </row>
    <row r="486" spans="1:2" x14ac:dyDescent="0.25">
      <c r="A486" s="8">
        <v>44804</v>
      </c>
      <c r="B486">
        <v>58.2</v>
      </c>
    </row>
    <row r="487" spans="1:2" x14ac:dyDescent="0.25">
      <c r="A487" s="8">
        <v>44834</v>
      </c>
      <c r="B487">
        <v>58.6</v>
      </c>
    </row>
    <row r="488" spans="1:2" x14ac:dyDescent="0.25">
      <c r="A488" s="8">
        <v>44865</v>
      </c>
      <c r="B488">
        <v>59.9</v>
      </c>
    </row>
    <row r="489" spans="1:2" x14ac:dyDescent="0.25">
      <c r="A489" s="8">
        <v>44895</v>
      </c>
      <c r="B489">
        <v>56.7</v>
      </c>
    </row>
    <row r="490" spans="1:2" x14ac:dyDescent="0.25">
      <c r="A490" s="8">
        <v>44926</v>
      </c>
      <c r="B490">
        <v>59.8</v>
      </c>
    </row>
    <row r="491" spans="1:2" x14ac:dyDescent="0.25">
      <c r="A491" s="8">
        <v>44957</v>
      </c>
      <c r="B491">
        <v>64.900000000000006</v>
      </c>
    </row>
    <row r="492" spans="1:2" x14ac:dyDescent="0.25">
      <c r="A492" s="8">
        <v>44985</v>
      </c>
      <c r="B492">
        <v>66.900000000000006</v>
      </c>
    </row>
    <row r="493" spans="1:2" x14ac:dyDescent="0.25">
      <c r="A493" s="8">
        <v>45016</v>
      </c>
      <c r="B493">
        <v>62</v>
      </c>
    </row>
    <row r="494" spans="1:2" x14ac:dyDescent="0.25">
      <c r="A494" s="8">
        <v>45046</v>
      </c>
      <c r="B494">
        <v>63.7</v>
      </c>
    </row>
    <row r="495" spans="1:2" x14ac:dyDescent="0.25">
      <c r="A495" s="8">
        <v>45077</v>
      </c>
      <c r="B495">
        <v>59</v>
      </c>
    </row>
    <row r="496" spans="1:2" x14ac:dyDescent="0.25">
      <c r="A496" s="8">
        <v>45107</v>
      </c>
      <c r="B496">
        <v>64.2</v>
      </c>
    </row>
    <row r="497" spans="1:2" x14ac:dyDescent="0.25">
      <c r="A497" s="8">
        <v>45138</v>
      </c>
      <c r="B497">
        <v>71.5</v>
      </c>
    </row>
    <row r="498" spans="1:2" x14ac:dyDescent="0.25">
      <c r="A498" s="8">
        <v>45169</v>
      </c>
      <c r="B498">
        <v>69.400000000000006</v>
      </c>
    </row>
    <row r="499" spans="1:2" x14ac:dyDescent="0.25">
      <c r="A499" s="8">
        <v>45199</v>
      </c>
      <c r="B499">
        <v>67.8</v>
      </c>
    </row>
    <row r="500" spans="1:2" x14ac:dyDescent="0.25">
      <c r="A500" s="8">
        <v>45230</v>
      </c>
      <c r="B500">
        <v>63.8</v>
      </c>
    </row>
    <row r="501" spans="1:2" x14ac:dyDescent="0.25">
      <c r="A501" s="8">
        <v>45260</v>
      </c>
      <c r="B501">
        <v>61.3</v>
      </c>
    </row>
    <row r="502" spans="1:2" x14ac:dyDescent="0.25">
      <c r="A502" s="8">
        <v>45291</v>
      </c>
      <c r="B502">
        <v>69.7</v>
      </c>
    </row>
    <row r="503" spans="1:2" x14ac:dyDescent="0.25">
      <c r="A503" s="8">
        <v>45322</v>
      </c>
      <c r="B503">
        <v>79</v>
      </c>
    </row>
    <row r="504" spans="1:2" x14ac:dyDescent="0.25">
      <c r="A504" s="8">
        <v>45351</v>
      </c>
      <c r="B504">
        <v>76.900000000000006</v>
      </c>
    </row>
    <row r="505" spans="1:2" x14ac:dyDescent="0.25">
      <c r="A505" s="8">
        <v>45382</v>
      </c>
      <c r="B505">
        <v>79.400000000000006</v>
      </c>
    </row>
    <row r="506" spans="1:2" x14ac:dyDescent="0.25">
      <c r="A506" s="8">
        <v>45412</v>
      </c>
      <c r="B506">
        <v>77.2</v>
      </c>
    </row>
    <row r="507" spans="1:2" x14ac:dyDescent="0.25">
      <c r="A507" s="8">
        <v>45443</v>
      </c>
      <c r="B507">
        <v>69.099999999999994</v>
      </c>
    </row>
    <row r="508" spans="1:2" x14ac:dyDescent="0.25">
      <c r="A508" s="8">
        <v>45473</v>
      </c>
      <c r="B508">
        <v>68.2</v>
      </c>
    </row>
    <row r="509" spans="1:2" x14ac:dyDescent="0.25">
      <c r="A509" s="8">
        <v>45504</v>
      </c>
      <c r="B509">
        <v>66.400000000000006</v>
      </c>
    </row>
    <row r="510" spans="1:2" x14ac:dyDescent="0.25">
      <c r="A510" s="8">
        <v>45535</v>
      </c>
      <c r="B510">
        <v>67.900000000000006</v>
      </c>
    </row>
    <row r="511" spans="1:2" x14ac:dyDescent="0.25">
      <c r="A511" s="8">
        <v>45565</v>
      </c>
      <c r="B511">
        <v>70.099999999999994</v>
      </c>
    </row>
    <row r="512" spans="1:2" x14ac:dyDescent="0.25">
      <c r="A512" s="8">
        <v>45596</v>
      </c>
      <c r="B512">
        <v>70.5</v>
      </c>
    </row>
    <row r="513" spans="1:2" x14ac:dyDescent="0.25">
      <c r="A513" s="8">
        <v>45626</v>
      </c>
      <c r="B513">
        <v>71.8</v>
      </c>
    </row>
    <row r="514" spans="1:2" x14ac:dyDescent="0.25">
      <c r="A514" s="8">
        <v>45657</v>
      </c>
      <c r="B514">
        <v>74</v>
      </c>
    </row>
    <row r="515" spans="1:2" x14ac:dyDescent="0.25">
      <c r="A515" s="8">
        <v>45688</v>
      </c>
      <c r="B515">
        <v>71.7</v>
      </c>
    </row>
    <row r="516" spans="1:2" x14ac:dyDescent="0.25">
      <c r="A516" s="8">
        <v>45716</v>
      </c>
      <c r="B516">
        <v>64.7</v>
      </c>
    </row>
    <row r="517" spans="1:2" x14ac:dyDescent="0.25">
      <c r="A517" s="8">
        <v>45747</v>
      </c>
      <c r="B517">
        <v>57</v>
      </c>
    </row>
    <row r="518" spans="1:2" x14ac:dyDescent="0.25">
      <c r="A518" s="8">
        <v>45777</v>
      </c>
      <c r="B518">
        <v>52.2</v>
      </c>
    </row>
    <row r="519" spans="1:2" x14ac:dyDescent="0.25">
      <c r="A519" s="8">
        <v>45808</v>
      </c>
      <c r="B519">
        <v>52.2</v>
      </c>
    </row>
    <row r="520" spans="1:2" x14ac:dyDescent="0.25">
      <c r="A520" s="8">
        <v>45838</v>
      </c>
      <c r="B520">
        <v>60.7</v>
      </c>
    </row>
    <row r="521" spans="1:2" x14ac:dyDescent="0.25">
      <c r="A521" s="8">
        <v>45869</v>
      </c>
      <c r="B521">
        <v>61.7</v>
      </c>
    </row>
    <row r="522" spans="1:2" x14ac:dyDescent="0.25">
      <c r="A522" s="8">
        <v>45900</v>
      </c>
      <c r="B522">
        <v>58.2</v>
      </c>
    </row>
    <row r="523" spans="1:2" x14ac:dyDescent="0.25">
      <c r="A523" s="8">
        <v>45930</v>
      </c>
      <c r="B523">
        <v>55.1</v>
      </c>
    </row>
    <row r="524" spans="1:2" x14ac:dyDescent="0.25">
      <c r="A524" s="8">
        <v>45961</v>
      </c>
      <c r="B524">
        <v>53.6</v>
      </c>
    </row>
    <row r="525" spans="1:2" x14ac:dyDescent="0.25">
      <c r="A525" s="8">
        <v>45991</v>
      </c>
      <c r="B525">
        <v>51</v>
      </c>
    </row>
    <row r="526" spans="1:2" x14ac:dyDescent="0.25">
      <c r="A526" s="8">
        <v>46022</v>
      </c>
      <c r="B526">
        <v>52.9</v>
      </c>
    </row>
    <row r="527" spans="1:2" x14ac:dyDescent="0.25">
      <c r="A527" s="8">
        <v>46053</v>
      </c>
      <c r="B527">
        <v>56.4</v>
      </c>
    </row>
    <row r="541" spans="1:4" x14ac:dyDescent="0.25">
      <c r="A541" s="6" t="s">
        <v>380</v>
      </c>
      <c r="B541" s="6" t="s">
        <v>381</v>
      </c>
      <c r="C541" s="6" t="s">
        <v>382</v>
      </c>
      <c r="D541" s="6" t="s">
        <v>54</v>
      </c>
    </row>
    <row r="542" spans="1:4" x14ac:dyDescent="0.25">
      <c r="A542" s="8">
        <f ca="1">_xll.BDH("NAPMNEWO Index","PX_LAST","02/01/2016",TODAY(),"Per=M","cols=2;rows=121")</f>
        <v>42400</v>
      </c>
      <c r="B542">
        <v>49.9</v>
      </c>
    </row>
    <row r="543" spans="1:4" x14ac:dyDescent="0.25">
      <c r="A543" s="8">
        <v>42429</v>
      </c>
      <c r="B543">
        <v>52.1</v>
      </c>
    </row>
    <row r="544" spans="1:4" x14ac:dyDescent="0.25">
      <c r="A544" s="8">
        <v>42460</v>
      </c>
      <c r="B544">
        <v>54.7</v>
      </c>
    </row>
    <row r="545" spans="1:2" x14ac:dyDescent="0.25">
      <c r="A545" s="8">
        <v>42490</v>
      </c>
      <c r="B545">
        <v>55.8</v>
      </c>
    </row>
    <row r="546" spans="1:2" x14ac:dyDescent="0.25">
      <c r="A546" s="8">
        <v>42521</v>
      </c>
      <c r="B546">
        <v>55.1</v>
      </c>
    </row>
    <row r="547" spans="1:2" x14ac:dyDescent="0.25">
      <c r="A547" s="8">
        <v>42551</v>
      </c>
      <c r="B547">
        <v>56.3</v>
      </c>
    </row>
    <row r="548" spans="1:2" x14ac:dyDescent="0.25">
      <c r="A548" s="8">
        <v>42582</v>
      </c>
      <c r="B548">
        <v>55.9</v>
      </c>
    </row>
    <row r="549" spans="1:2" x14ac:dyDescent="0.25">
      <c r="A549" s="8">
        <v>42613</v>
      </c>
      <c r="B549">
        <v>51.2</v>
      </c>
    </row>
    <row r="550" spans="1:2" x14ac:dyDescent="0.25">
      <c r="A550" s="8">
        <v>42643</v>
      </c>
      <c r="B550">
        <v>53.4</v>
      </c>
    </row>
    <row r="551" spans="1:2" x14ac:dyDescent="0.25">
      <c r="A551" s="8">
        <v>42674</v>
      </c>
      <c r="B551">
        <v>54.2</v>
      </c>
    </row>
    <row r="552" spans="1:2" x14ac:dyDescent="0.25">
      <c r="A552" s="8">
        <v>42704</v>
      </c>
      <c r="B552">
        <v>55.5</v>
      </c>
    </row>
    <row r="553" spans="1:2" x14ac:dyDescent="0.25">
      <c r="A553" s="8">
        <v>42735</v>
      </c>
      <c r="B553">
        <v>59</v>
      </c>
    </row>
    <row r="554" spans="1:2" x14ac:dyDescent="0.25">
      <c r="A554" s="8">
        <v>42766</v>
      </c>
      <c r="B554">
        <v>59.8</v>
      </c>
    </row>
    <row r="555" spans="1:2" x14ac:dyDescent="0.25">
      <c r="A555" s="8">
        <v>42794</v>
      </c>
      <c r="B555">
        <v>64.5</v>
      </c>
    </row>
    <row r="556" spans="1:2" x14ac:dyDescent="0.25">
      <c r="A556" s="8">
        <v>42825</v>
      </c>
      <c r="B556">
        <v>61.7</v>
      </c>
    </row>
    <row r="557" spans="1:2" x14ac:dyDescent="0.25">
      <c r="A557" s="8">
        <v>42855</v>
      </c>
      <c r="B557">
        <v>57.4</v>
      </c>
    </row>
    <row r="558" spans="1:2" x14ac:dyDescent="0.25">
      <c r="A558" s="8">
        <v>42886</v>
      </c>
      <c r="B558">
        <v>61.5</v>
      </c>
    </row>
    <row r="559" spans="1:2" x14ac:dyDescent="0.25">
      <c r="A559" s="8">
        <v>42916</v>
      </c>
      <c r="B559">
        <v>60.4</v>
      </c>
    </row>
    <row r="560" spans="1:2" x14ac:dyDescent="0.25">
      <c r="A560" s="8">
        <v>42947</v>
      </c>
      <c r="B560">
        <v>60.9</v>
      </c>
    </row>
    <row r="561" spans="1:2" x14ac:dyDescent="0.25">
      <c r="A561" s="8">
        <v>42978</v>
      </c>
      <c r="B561">
        <v>60.7</v>
      </c>
    </row>
    <row r="562" spans="1:2" x14ac:dyDescent="0.25">
      <c r="A562" s="8">
        <v>43008</v>
      </c>
      <c r="B562">
        <v>64.8</v>
      </c>
    </row>
    <row r="563" spans="1:2" x14ac:dyDescent="0.25">
      <c r="A563" s="8">
        <v>43039</v>
      </c>
      <c r="B563">
        <v>63.7</v>
      </c>
    </row>
    <row r="564" spans="1:2" x14ac:dyDescent="0.25">
      <c r="A564" s="8">
        <v>43069</v>
      </c>
      <c r="B564">
        <v>63.2</v>
      </c>
    </row>
    <row r="565" spans="1:2" x14ac:dyDescent="0.25">
      <c r="A565" s="8">
        <v>43100</v>
      </c>
      <c r="B565">
        <v>66.8</v>
      </c>
    </row>
    <row r="566" spans="1:2" x14ac:dyDescent="0.25">
      <c r="A566" s="8">
        <v>43131</v>
      </c>
      <c r="B566">
        <v>66.5</v>
      </c>
    </row>
    <row r="567" spans="1:2" x14ac:dyDescent="0.25">
      <c r="A567" s="8">
        <v>43159</v>
      </c>
      <c r="B567">
        <v>64.900000000000006</v>
      </c>
    </row>
    <row r="568" spans="1:2" x14ac:dyDescent="0.25">
      <c r="A568" s="8">
        <v>43190</v>
      </c>
      <c r="B568">
        <v>61.6</v>
      </c>
    </row>
    <row r="569" spans="1:2" x14ac:dyDescent="0.25">
      <c r="A569" s="8">
        <v>43220</v>
      </c>
      <c r="B569">
        <v>62.7</v>
      </c>
    </row>
    <row r="570" spans="1:2" x14ac:dyDescent="0.25">
      <c r="A570" s="8">
        <v>43251</v>
      </c>
      <c r="B570">
        <v>62.7</v>
      </c>
    </row>
    <row r="571" spans="1:2" x14ac:dyDescent="0.25">
      <c r="A571" s="8">
        <v>43281</v>
      </c>
      <c r="B571">
        <v>64.599999999999994</v>
      </c>
    </row>
    <row r="572" spans="1:2" x14ac:dyDescent="0.25">
      <c r="A572" s="8">
        <v>43312</v>
      </c>
      <c r="B572">
        <v>58.9</v>
      </c>
    </row>
    <row r="573" spans="1:2" x14ac:dyDescent="0.25">
      <c r="A573" s="8">
        <v>43343</v>
      </c>
      <c r="B573">
        <v>63.8</v>
      </c>
    </row>
    <row r="574" spans="1:2" x14ac:dyDescent="0.25">
      <c r="A574" s="8">
        <v>43373</v>
      </c>
      <c r="B574">
        <v>61.1</v>
      </c>
    </row>
    <row r="575" spans="1:2" x14ac:dyDescent="0.25">
      <c r="A575" s="8">
        <v>43404</v>
      </c>
      <c r="B575">
        <v>59.1</v>
      </c>
    </row>
    <row r="576" spans="1:2" x14ac:dyDescent="0.25">
      <c r="A576" s="8">
        <v>43434</v>
      </c>
      <c r="B576">
        <v>60.9</v>
      </c>
    </row>
    <row r="577" spans="1:2" x14ac:dyDescent="0.25">
      <c r="A577" s="8">
        <v>43465</v>
      </c>
      <c r="B577">
        <v>52.5</v>
      </c>
    </row>
    <row r="578" spans="1:2" x14ac:dyDescent="0.25">
      <c r="A578" s="8">
        <v>43496</v>
      </c>
      <c r="B578">
        <v>57</v>
      </c>
    </row>
    <row r="579" spans="1:2" x14ac:dyDescent="0.25">
      <c r="A579" s="8">
        <v>43524</v>
      </c>
      <c r="B579">
        <v>55.9</v>
      </c>
    </row>
    <row r="580" spans="1:2" x14ac:dyDescent="0.25">
      <c r="A580" s="8">
        <v>43555</v>
      </c>
      <c r="B580">
        <v>56.6</v>
      </c>
    </row>
    <row r="581" spans="1:2" x14ac:dyDescent="0.25">
      <c r="A581" s="8">
        <v>43585</v>
      </c>
      <c r="B581">
        <v>53.5</v>
      </c>
    </row>
    <row r="582" spans="1:2" x14ac:dyDescent="0.25">
      <c r="A582" s="8">
        <v>43616</v>
      </c>
      <c r="B582">
        <v>52.5</v>
      </c>
    </row>
    <row r="583" spans="1:2" x14ac:dyDescent="0.25">
      <c r="A583" s="8">
        <v>43646</v>
      </c>
      <c r="B583">
        <v>50.7</v>
      </c>
    </row>
    <row r="584" spans="1:2" x14ac:dyDescent="0.25">
      <c r="A584" s="8">
        <v>43677</v>
      </c>
      <c r="B584">
        <v>50.5</v>
      </c>
    </row>
    <row r="585" spans="1:2" x14ac:dyDescent="0.25">
      <c r="A585" s="8">
        <v>43708</v>
      </c>
      <c r="B585">
        <v>46.4</v>
      </c>
    </row>
    <row r="586" spans="1:2" x14ac:dyDescent="0.25">
      <c r="A586" s="8">
        <v>43738</v>
      </c>
      <c r="B586">
        <v>47.5</v>
      </c>
    </row>
    <row r="587" spans="1:2" x14ac:dyDescent="0.25">
      <c r="A587" s="8">
        <v>43769</v>
      </c>
      <c r="B587">
        <v>48.1</v>
      </c>
    </row>
    <row r="588" spans="1:2" x14ac:dyDescent="0.25">
      <c r="A588" s="8">
        <v>43799</v>
      </c>
      <c r="B588">
        <v>47.8</v>
      </c>
    </row>
    <row r="589" spans="1:2" x14ac:dyDescent="0.25">
      <c r="A589" s="8">
        <v>43830</v>
      </c>
      <c r="B589">
        <v>47.6</v>
      </c>
    </row>
    <row r="590" spans="1:2" x14ac:dyDescent="0.25">
      <c r="A590" s="8">
        <v>43861</v>
      </c>
      <c r="B590">
        <v>53.6</v>
      </c>
    </row>
    <row r="591" spans="1:2" x14ac:dyDescent="0.25">
      <c r="A591" s="8">
        <v>43890</v>
      </c>
      <c r="B591">
        <v>50.8</v>
      </c>
    </row>
    <row r="592" spans="1:2" x14ac:dyDescent="0.25">
      <c r="A592" s="8">
        <v>43921</v>
      </c>
      <c r="B592">
        <v>42.4</v>
      </c>
    </row>
    <row r="593" spans="1:2" x14ac:dyDescent="0.25">
      <c r="A593" s="8">
        <v>43951</v>
      </c>
      <c r="B593">
        <v>27.3</v>
      </c>
    </row>
    <row r="594" spans="1:2" x14ac:dyDescent="0.25">
      <c r="A594" s="8">
        <v>43982</v>
      </c>
      <c r="B594">
        <v>32.299999999999997</v>
      </c>
    </row>
    <row r="595" spans="1:2" x14ac:dyDescent="0.25">
      <c r="A595" s="8">
        <v>44012</v>
      </c>
      <c r="B595">
        <v>57.1</v>
      </c>
    </row>
    <row r="596" spans="1:2" x14ac:dyDescent="0.25">
      <c r="A596" s="8">
        <v>44043</v>
      </c>
      <c r="B596">
        <v>60.9</v>
      </c>
    </row>
    <row r="597" spans="1:2" x14ac:dyDescent="0.25">
      <c r="A597" s="8">
        <v>44074</v>
      </c>
      <c r="B597">
        <v>64.400000000000006</v>
      </c>
    </row>
    <row r="598" spans="1:2" x14ac:dyDescent="0.25">
      <c r="A598" s="8">
        <v>44104</v>
      </c>
      <c r="B598">
        <v>59.9</v>
      </c>
    </row>
    <row r="599" spans="1:2" x14ac:dyDescent="0.25">
      <c r="A599" s="8">
        <v>44135</v>
      </c>
      <c r="B599">
        <v>66.599999999999994</v>
      </c>
    </row>
    <row r="600" spans="1:2" x14ac:dyDescent="0.25">
      <c r="A600" s="8">
        <v>44165</v>
      </c>
      <c r="B600">
        <v>64.8</v>
      </c>
    </row>
    <row r="601" spans="1:2" x14ac:dyDescent="0.25">
      <c r="A601" s="8">
        <v>44196</v>
      </c>
      <c r="B601">
        <v>67.2</v>
      </c>
    </row>
    <row r="602" spans="1:2" x14ac:dyDescent="0.25">
      <c r="A602" s="8">
        <v>44227</v>
      </c>
      <c r="B602">
        <v>64.599999999999994</v>
      </c>
    </row>
    <row r="603" spans="1:2" x14ac:dyDescent="0.25">
      <c r="A603" s="8">
        <v>44255</v>
      </c>
      <c r="B603">
        <v>64.8</v>
      </c>
    </row>
    <row r="604" spans="1:2" x14ac:dyDescent="0.25">
      <c r="A604" s="8">
        <v>44286</v>
      </c>
      <c r="B604">
        <v>66.8</v>
      </c>
    </row>
    <row r="605" spans="1:2" x14ac:dyDescent="0.25">
      <c r="A605" s="8">
        <v>44316</v>
      </c>
      <c r="B605">
        <v>65</v>
      </c>
    </row>
    <row r="606" spans="1:2" x14ac:dyDescent="0.25">
      <c r="A606" s="8">
        <v>44347</v>
      </c>
      <c r="B606">
        <v>67</v>
      </c>
    </row>
    <row r="607" spans="1:2" x14ac:dyDescent="0.25">
      <c r="A607" s="8">
        <v>44377</v>
      </c>
      <c r="B607">
        <v>66.900000000000006</v>
      </c>
    </row>
    <row r="608" spans="1:2" x14ac:dyDescent="0.25">
      <c r="A608" s="8">
        <v>44408</v>
      </c>
      <c r="B608">
        <v>65.8</v>
      </c>
    </row>
    <row r="609" spans="1:2" x14ac:dyDescent="0.25">
      <c r="A609" s="8">
        <v>44439</v>
      </c>
      <c r="B609">
        <v>64.3</v>
      </c>
    </row>
    <row r="610" spans="1:2" x14ac:dyDescent="0.25">
      <c r="A610" s="8">
        <v>44469</v>
      </c>
      <c r="B610">
        <v>64.599999999999994</v>
      </c>
    </row>
    <row r="611" spans="1:2" x14ac:dyDescent="0.25">
      <c r="A611" s="8">
        <v>44500</v>
      </c>
      <c r="B611">
        <v>60.6</v>
      </c>
    </row>
    <row r="612" spans="1:2" x14ac:dyDescent="0.25">
      <c r="A612" s="8">
        <v>44530</v>
      </c>
      <c r="B612">
        <v>60.9</v>
      </c>
    </row>
    <row r="613" spans="1:2" x14ac:dyDescent="0.25">
      <c r="A613" s="8">
        <v>44561</v>
      </c>
      <c r="B613">
        <v>60.8</v>
      </c>
    </row>
    <row r="614" spans="1:2" x14ac:dyDescent="0.25">
      <c r="A614" s="8">
        <v>44592</v>
      </c>
      <c r="B614">
        <v>58.7</v>
      </c>
    </row>
    <row r="615" spans="1:2" x14ac:dyDescent="0.25">
      <c r="A615" s="8">
        <v>44620</v>
      </c>
      <c r="B615">
        <v>59.7</v>
      </c>
    </row>
    <row r="616" spans="1:2" x14ac:dyDescent="0.25">
      <c r="A616" s="8">
        <v>44651</v>
      </c>
      <c r="B616">
        <v>54</v>
      </c>
    </row>
    <row r="617" spans="1:2" x14ac:dyDescent="0.25">
      <c r="A617" s="8">
        <v>44681</v>
      </c>
      <c r="B617">
        <v>53.4</v>
      </c>
    </row>
    <row r="618" spans="1:2" x14ac:dyDescent="0.25">
      <c r="A618" s="8">
        <v>44712</v>
      </c>
      <c r="B618">
        <v>56</v>
      </c>
    </row>
    <row r="619" spans="1:2" x14ac:dyDescent="0.25">
      <c r="A619" s="8">
        <v>44742</v>
      </c>
      <c r="B619">
        <v>50</v>
      </c>
    </row>
    <row r="620" spans="1:2" x14ac:dyDescent="0.25">
      <c r="A620" s="8">
        <v>44773</v>
      </c>
      <c r="B620">
        <v>48.5</v>
      </c>
    </row>
    <row r="621" spans="1:2" x14ac:dyDescent="0.25">
      <c r="A621" s="8">
        <v>44804</v>
      </c>
      <c r="B621">
        <v>50.5</v>
      </c>
    </row>
    <row r="622" spans="1:2" x14ac:dyDescent="0.25">
      <c r="A622" s="8">
        <v>44834</v>
      </c>
      <c r="B622">
        <v>47.4</v>
      </c>
    </row>
    <row r="623" spans="1:2" x14ac:dyDescent="0.25">
      <c r="A623" s="8">
        <v>44865</v>
      </c>
      <c r="B623">
        <v>49.2</v>
      </c>
    </row>
    <row r="624" spans="1:2" x14ac:dyDescent="0.25">
      <c r="A624" s="8">
        <v>44895</v>
      </c>
      <c r="B624">
        <v>46.4</v>
      </c>
    </row>
    <row r="625" spans="1:2" x14ac:dyDescent="0.25">
      <c r="A625" s="8">
        <v>44926</v>
      </c>
      <c r="B625">
        <v>44.9</v>
      </c>
    </row>
    <row r="626" spans="1:2" x14ac:dyDescent="0.25">
      <c r="A626" s="8">
        <v>44957</v>
      </c>
      <c r="B626">
        <v>41.8</v>
      </c>
    </row>
    <row r="627" spans="1:2" x14ac:dyDescent="0.25">
      <c r="A627" s="8">
        <v>44985</v>
      </c>
      <c r="B627">
        <v>45.7</v>
      </c>
    </row>
    <row r="628" spans="1:2" x14ac:dyDescent="0.25">
      <c r="A628" s="8">
        <v>45016</v>
      </c>
      <c r="B628">
        <v>44</v>
      </c>
    </row>
    <row r="629" spans="1:2" x14ac:dyDescent="0.25">
      <c r="A629" s="8">
        <v>45046</v>
      </c>
      <c r="B629">
        <v>45.6</v>
      </c>
    </row>
    <row r="630" spans="1:2" x14ac:dyDescent="0.25">
      <c r="A630" s="8">
        <v>45077</v>
      </c>
      <c r="B630">
        <v>44.1</v>
      </c>
    </row>
    <row r="631" spans="1:2" x14ac:dyDescent="0.25">
      <c r="A631" s="8">
        <v>45107</v>
      </c>
      <c r="B631">
        <v>45.8</v>
      </c>
    </row>
    <row r="632" spans="1:2" x14ac:dyDescent="0.25">
      <c r="A632" s="8">
        <v>45138</v>
      </c>
      <c r="B632">
        <v>47.5</v>
      </c>
    </row>
    <row r="633" spans="1:2" x14ac:dyDescent="0.25">
      <c r="A633" s="8">
        <v>45169</v>
      </c>
      <c r="B633">
        <v>47.3</v>
      </c>
    </row>
    <row r="634" spans="1:2" x14ac:dyDescent="0.25">
      <c r="A634" s="8">
        <v>45199</v>
      </c>
      <c r="B634">
        <v>48.8</v>
      </c>
    </row>
    <row r="635" spans="1:2" x14ac:dyDescent="0.25">
      <c r="A635" s="8">
        <v>45230</v>
      </c>
      <c r="B635">
        <v>46.6</v>
      </c>
    </row>
    <row r="636" spans="1:2" x14ac:dyDescent="0.25">
      <c r="A636" s="8">
        <v>45260</v>
      </c>
      <c r="B636">
        <v>47.9</v>
      </c>
    </row>
    <row r="637" spans="1:2" x14ac:dyDescent="0.25">
      <c r="A637" s="8">
        <v>45291</v>
      </c>
      <c r="B637">
        <v>46.5</v>
      </c>
    </row>
    <row r="638" spans="1:2" x14ac:dyDescent="0.25">
      <c r="A638" s="8">
        <v>45322</v>
      </c>
      <c r="B638">
        <v>50.7</v>
      </c>
    </row>
    <row r="639" spans="1:2" x14ac:dyDescent="0.25">
      <c r="A639" s="8">
        <v>45351</v>
      </c>
      <c r="B639">
        <v>48.2</v>
      </c>
    </row>
    <row r="640" spans="1:2" x14ac:dyDescent="0.25">
      <c r="A640" s="8">
        <v>45382</v>
      </c>
      <c r="B640">
        <v>50.4</v>
      </c>
    </row>
    <row r="641" spans="1:2" x14ac:dyDescent="0.25">
      <c r="A641" s="8">
        <v>45412</v>
      </c>
      <c r="B641">
        <v>49.2</v>
      </c>
    </row>
    <row r="642" spans="1:2" x14ac:dyDescent="0.25">
      <c r="A642" s="8">
        <v>45443</v>
      </c>
      <c r="B642">
        <v>46.9</v>
      </c>
    </row>
    <row r="643" spans="1:2" x14ac:dyDescent="0.25">
      <c r="A643" s="8">
        <v>45473</v>
      </c>
      <c r="B643">
        <v>49.4</v>
      </c>
    </row>
    <row r="644" spans="1:2" x14ac:dyDescent="0.25">
      <c r="A644" s="8">
        <v>45504</v>
      </c>
      <c r="B644">
        <v>47.8</v>
      </c>
    </row>
    <row r="645" spans="1:2" x14ac:dyDescent="0.25">
      <c r="A645" s="8">
        <v>45535</v>
      </c>
      <c r="B645">
        <v>45.6</v>
      </c>
    </row>
    <row r="646" spans="1:2" x14ac:dyDescent="0.25">
      <c r="A646" s="8">
        <v>45565</v>
      </c>
      <c r="B646">
        <v>46.5</v>
      </c>
    </row>
    <row r="647" spans="1:2" x14ac:dyDescent="0.25">
      <c r="A647" s="8">
        <v>45596</v>
      </c>
      <c r="B647">
        <v>47.6</v>
      </c>
    </row>
    <row r="648" spans="1:2" x14ac:dyDescent="0.25">
      <c r="A648" s="8">
        <v>45626</v>
      </c>
      <c r="B648">
        <v>50.1</v>
      </c>
    </row>
    <row r="649" spans="1:2" x14ac:dyDescent="0.25">
      <c r="A649" s="8">
        <v>45657</v>
      </c>
      <c r="B649">
        <v>52</v>
      </c>
    </row>
    <row r="650" spans="1:2" x14ac:dyDescent="0.25">
      <c r="A650" s="8">
        <v>45688</v>
      </c>
      <c r="B650">
        <v>53.3</v>
      </c>
    </row>
    <row r="651" spans="1:2" x14ac:dyDescent="0.25">
      <c r="A651" s="8">
        <v>45716</v>
      </c>
      <c r="B651">
        <v>48.7</v>
      </c>
    </row>
    <row r="652" spans="1:2" x14ac:dyDescent="0.25">
      <c r="A652" s="8">
        <v>45747</v>
      </c>
      <c r="B652">
        <v>45.6</v>
      </c>
    </row>
    <row r="653" spans="1:2" x14ac:dyDescent="0.25">
      <c r="A653" s="8">
        <v>45777</v>
      </c>
      <c r="B653">
        <v>47.5</v>
      </c>
    </row>
    <row r="654" spans="1:2" x14ac:dyDescent="0.25">
      <c r="A654" s="8">
        <v>45808</v>
      </c>
      <c r="B654">
        <v>48.3</v>
      </c>
    </row>
    <row r="655" spans="1:2" x14ac:dyDescent="0.25">
      <c r="A655" s="8">
        <v>45838</v>
      </c>
      <c r="B655">
        <v>46.9</v>
      </c>
    </row>
    <row r="656" spans="1:2" x14ac:dyDescent="0.25">
      <c r="A656" s="8">
        <v>45869</v>
      </c>
      <c r="B656">
        <v>47.5</v>
      </c>
    </row>
    <row r="657" spans="1:2" x14ac:dyDescent="0.25">
      <c r="A657" s="8">
        <v>45900</v>
      </c>
      <c r="B657">
        <v>51.1</v>
      </c>
    </row>
    <row r="658" spans="1:2" x14ac:dyDescent="0.25">
      <c r="A658" s="8">
        <v>45930</v>
      </c>
      <c r="B658">
        <v>48.7</v>
      </c>
    </row>
    <row r="659" spans="1:2" x14ac:dyDescent="0.25">
      <c r="A659" s="8">
        <v>45961</v>
      </c>
      <c r="B659">
        <v>48.7</v>
      </c>
    </row>
    <row r="660" spans="1:2" x14ac:dyDescent="0.25">
      <c r="A660" s="8">
        <v>45991</v>
      </c>
      <c r="B660">
        <v>47.3</v>
      </c>
    </row>
    <row r="661" spans="1:2" x14ac:dyDescent="0.25">
      <c r="A661" s="8">
        <v>46022</v>
      </c>
      <c r="B661">
        <v>47.4</v>
      </c>
    </row>
    <row r="662" spans="1:2" x14ac:dyDescent="0.25">
      <c r="A662" s="8">
        <v>46053</v>
      </c>
      <c r="B662">
        <v>57.1</v>
      </c>
    </row>
    <row r="676" spans="1:4" x14ac:dyDescent="0.25">
      <c r="A676" s="6" t="s">
        <v>383</v>
      </c>
      <c r="B676" s="6" t="s">
        <v>384</v>
      </c>
      <c r="C676" s="6" t="s">
        <v>385</v>
      </c>
      <c r="D676" s="6" t="s">
        <v>54</v>
      </c>
    </row>
    <row r="677" spans="1:4" x14ac:dyDescent="0.25">
      <c r="A677" s="8">
        <f ca="1">_xll.BDH("ADP CHNG Index","PX_LAST","02/01/2016",TODAY(),"Per=M","cols=2;rows=121")</f>
        <v>42400</v>
      </c>
      <c r="B677">
        <v>136</v>
      </c>
    </row>
    <row r="678" spans="1:4" x14ac:dyDescent="0.25">
      <c r="A678" s="8">
        <v>42429</v>
      </c>
      <c r="B678">
        <v>123</v>
      </c>
    </row>
    <row r="679" spans="1:4" x14ac:dyDescent="0.25">
      <c r="A679" s="8">
        <v>42460</v>
      </c>
      <c r="B679">
        <v>177</v>
      </c>
    </row>
    <row r="680" spans="1:4" x14ac:dyDescent="0.25">
      <c r="A680" s="8">
        <v>42490</v>
      </c>
      <c r="B680">
        <v>208</v>
      </c>
    </row>
    <row r="681" spans="1:4" x14ac:dyDescent="0.25">
      <c r="A681" s="8">
        <v>42521</v>
      </c>
      <c r="B681">
        <v>121</v>
      </c>
    </row>
    <row r="682" spans="1:4" x14ac:dyDescent="0.25">
      <c r="A682" s="8">
        <v>42551</v>
      </c>
      <c r="B682">
        <v>137</v>
      </c>
    </row>
    <row r="683" spans="1:4" x14ac:dyDescent="0.25">
      <c r="A683" s="8">
        <v>42582</v>
      </c>
      <c r="B683">
        <v>129</v>
      </c>
    </row>
    <row r="684" spans="1:4" x14ac:dyDescent="0.25">
      <c r="A684" s="8">
        <v>42613</v>
      </c>
      <c r="B684">
        <v>150</v>
      </c>
    </row>
    <row r="685" spans="1:4" x14ac:dyDescent="0.25">
      <c r="A685" s="8">
        <v>42643</v>
      </c>
      <c r="B685">
        <v>213</v>
      </c>
    </row>
    <row r="686" spans="1:4" x14ac:dyDescent="0.25">
      <c r="A686" s="8">
        <v>42674</v>
      </c>
      <c r="B686">
        <v>204</v>
      </c>
    </row>
    <row r="687" spans="1:4" x14ac:dyDescent="0.25">
      <c r="A687" s="8">
        <v>42704</v>
      </c>
      <c r="B687">
        <v>254</v>
      </c>
    </row>
    <row r="688" spans="1:4" x14ac:dyDescent="0.25">
      <c r="A688" s="8">
        <v>42735</v>
      </c>
      <c r="B688">
        <v>327</v>
      </c>
    </row>
    <row r="689" spans="1:2" x14ac:dyDescent="0.25">
      <c r="A689" s="8">
        <v>42766</v>
      </c>
      <c r="B689">
        <v>192</v>
      </c>
    </row>
    <row r="690" spans="1:2" x14ac:dyDescent="0.25">
      <c r="A690" s="8">
        <v>42794</v>
      </c>
      <c r="B690">
        <v>176</v>
      </c>
    </row>
    <row r="691" spans="1:2" x14ac:dyDescent="0.25">
      <c r="A691" s="8">
        <v>42825</v>
      </c>
      <c r="B691">
        <v>106</v>
      </c>
    </row>
    <row r="692" spans="1:2" x14ac:dyDescent="0.25">
      <c r="A692" s="8">
        <v>42855</v>
      </c>
      <c r="B692">
        <v>138</v>
      </c>
    </row>
    <row r="693" spans="1:2" x14ac:dyDescent="0.25">
      <c r="A693" s="8">
        <v>42886</v>
      </c>
      <c r="B693">
        <v>156</v>
      </c>
    </row>
    <row r="694" spans="1:2" x14ac:dyDescent="0.25">
      <c r="A694" s="8">
        <v>42916</v>
      </c>
      <c r="B694">
        <v>221</v>
      </c>
    </row>
    <row r="695" spans="1:2" x14ac:dyDescent="0.25">
      <c r="A695" s="8">
        <v>42947</v>
      </c>
      <c r="B695">
        <v>190</v>
      </c>
    </row>
    <row r="696" spans="1:2" x14ac:dyDescent="0.25">
      <c r="A696" s="8">
        <v>42978</v>
      </c>
      <c r="B696">
        <v>181</v>
      </c>
    </row>
    <row r="697" spans="1:2" x14ac:dyDescent="0.25">
      <c r="A697" s="8">
        <v>43008</v>
      </c>
      <c r="B697">
        <v>172</v>
      </c>
    </row>
    <row r="698" spans="1:2" x14ac:dyDescent="0.25">
      <c r="A698" s="8">
        <v>43039</v>
      </c>
      <c r="B698">
        <v>111</v>
      </c>
    </row>
    <row r="699" spans="1:2" x14ac:dyDescent="0.25">
      <c r="A699" s="8">
        <v>43069</v>
      </c>
      <c r="B699">
        <v>179</v>
      </c>
    </row>
    <row r="700" spans="1:2" x14ac:dyDescent="0.25">
      <c r="A700" s="8">
        <v>43100</v>
      </c>
      <c r="B700">
        <v>179</v>
      </c>
    </row>
    <row r="701" spans="1:2" x14ac:dyDescent="0.25">
      <c r="A701" s="8">
        <v>43131</v>
      </c>
      <c r="B701">
        <v>205</v>
      </c>
    </row>
    <row r="702" spans="1:2" x14ac:dyDescent="0.25">
      <c r="A702" s="8">
        <v>43159</v>
      </c>
      <c r="B702">
        <v>263</v>
      </c>
    </row>
    <row r="703" spans="1:2" x14ac:dyDescent="0.25">
      <c r="A703" s="8">
        <v>43190</v>
      </c>
      <c r="B703">
        <v>177</v>
      </c>
    </row>
    <row r="704" spans="1:2" x14ac:dyDescent="0.25">
      <c r="A704" s="8">
        <v>43220</v>
      </c>
      <c r="B704">
        <v>174</v>
      </c>
    </row>
    <row r="705" spans="1:2" x14ac:dyDescent="0.25">
      <c r="A705" s="8">
        <v>43251</v>
      </c>
      <c r="B705">
        <v>153</v>
      </c>
    </row>
    <row r="706" spans="1:2" x14ac:dyDescent="0.25">
      <c r="A706" s="8">
        <v>43281</v>
      </c>
      <c r="B706">
        <v>207</v>
      </c>
    </row>
    <row r="707" spans="1:2" x14ac:dyDescent="0.25">
      <c r="A707" s="8">
        <v>43312</v>
      </c>
      <c r="B707">
        <v>182</v>
      </c>
    </row>
    <row r="708" spans="1:2" x14ac:dyDescent="0.25">
      <c r="A708" s="8">
        <v>43343</v>
      </c>
      <c r="B708">
        <v>174</v>
      </c>
    </row>
    <row r="709" spans="1:2" x14ac:dyDescent="0.25">
      <c r="A709" s="8">
        <v>43373</v>
      </c>
      <c r="B709">
        <v>76</v>
      </c>
    </row>
    <row r="710" spans="1:2" x14ac:dyDescent="0.25">
      <c r="A710" s="8">
        <v>43404</v>
      </c>
      <c r="B710">
        <v>109</v>
      </c>
    </row>
    <row r="711" spans="1:2" x14ac:dyDescent="0.25">
      <c r="A711" s="8">
        <v>43434</v>
      </c>
      <c r="B711">
        <v>210</v>
      </c>
    </row>
    <row r="712" spans="1:2" x14ac:dyDescent="0.25">
      <c r="A712" s="8">
        <v>43465</v>
      </c>
      <c r="B712">
        <v>173</v>
      </c>
    </row>
    <row r="713" spans="1:2" x14ac:dyDescent="0.25">
      <c r="A713" s="8">
        <v>43496</v>
      </c>
      <c r="B713">
        <v>215</v>
      </c>
    </row>
    <row r="714" spans="1:2" x14ac:dyDescent="0.25">
      <c r="A714" s="8">
        <v>43524</v>
      </c>
      <c r="B714">
        <v>229</v>
      </c>
    </row>
    <row r="715" spans="1:2" x14ac:dyDescent="0.25">
      <c r="A715" s="8">
        <v>43555</v>
      </c>
      <c r="B715">
        <v>102</v>
      </c>
    </row>
    <row r="716" spans="1:2" x14ac:dyDescent="0.25">
      <c r="A716" s="8">
        <v>43585</v>
      </c>
      <c r="B716">
        <v>95</v>
      </c>
    </row>
    <row r="717" spans="1:2" x14ac:dyDescent="0.25">
      <c r="A717" s="8">
        <v>43616</v>
      </c>
      <c r="B717">
        <v>139</v>
      </c>
    </row>
    <row r="718" spans="1:2" x14ac:dyDescent="0.25">
      <c r="A718" s="8">
        <v>43646</v>
      </c>
      <c r="B718">
        <v>92</v>
      </c>
    </row>
    <row r="719" spans="1:2" x14ac:dyDescent="0.25">
      <c r="A719" s="8">
        <v>43677</v>
      </c>
      <c r="B719">
        <v>78</v>
      </c>
    </row>
    <row r="720" spans="1:2" x14ac:dyDescent="0.25">
      <c r="A720" s="8">
        <v>43708</v>
      </c>
      <c r="B720">
        <v>97</v>
      </c>
    </row>
    <row r="721" spans="1:2" x14ac:dyDescent="0.25">
      <c r="A721" s="8">
        <v>43738</v>
      </c>
      <c r="B721">
        <v>51</v>
      </c>
    </row>
    <row r="722" spans="1:2" x14ac:dyDescent="0.25">
      <c r="A722" s="8">
        <v>43769</v>
      </c>
      <c r="B722">
        <v>39</v>
      </c>
    </row>
    <row r="723" spans="1:2" x14ac:dyDescent="0.25">
      <c r="A723" s="8">
        <v>43799</v>
      </c>
      <c r="B723">
        <v>54</v>
      </c>
    </row>
    <row r="724" spans="1:2" x14ac:dyDescent="0.25">
      <c r="A724" s="8">
        <v>43830</v>
      </c>
      <c r="B724">
        <v>80</v>
      </c>
    </row>
    <row r="725" spans="1:2" x14ac:dyDescent="0.25">
      <c r="A725" s="8">
        <v>43861</v>
      </c>
      <c r="B725">
        <v>-65</v>
      </c>
    </row>
    <row r="726" spans="1:2" x14ac:dyDescent="0.25">
      <c r="A726" s="8">
        <v>43890</v>
      </c>
      <c r="B726">
        <v>-129</v>
      </c>
    </row>
    <row r="727" spans="1:2" x14ac:dyDescent="0.25">
      <c r="A727" s="8">
        <v>43921</v>
      </c>
      <c r="B727">
        <v>-187</v>
      </c>
    </row>
    <row r="728" spans="1:2" x14ac:dyDescent="0.25">
      <c r="A728" s="8">
        <v>43951</v>
      </c>
      <c r="B728">
        <v>-1455</v>
      </c>
    </row>
    <row r="729" spans="1:2" x14ac:dyDescent="0.25">
      <c r="A729" s="8">
        <v>43982</v>
      </c>
      <c r="B729">
        <v>-1828</v>
      </c>
    </row>
    <row r="730" spans="1:2" x14ac:dyDescent="0.25">
      <c r="A730" s="8">
        <v>44012</v>
      </c>
      <c r="B730">
        <v>-1542</v>
      </c>
    </row>
    <row r="731" spans="1:2" x14ac:dyDescent="0.25">
      <c r="A731" s="8">
        <v>44043</v>
      </c>
      <c r="B731">
        <v>-842</v>
      </c>
    </row>
    <row r="732" spans="1:2" x14ac:dyDescent="0.25">
      <c r="A732" s="8">
        <v>44074</v>
      </c>
      <c r="B732">
        <v>-357</v>
      </c>
    </row>
    <row r="733" spans="1:2" x14ac:dyDescent="0.25">
      <c r="A733" s="8">
        <v>44104</v>
      </c>
      <c r="B733">
        <v>220</v>
      </c>
    </row>
    <row r="734" spans="1:2" x14ac:dyDescent="0.25">
      <c r="A734" s="8">
        <v>44135</v>
      </c>
      <c r="B734">
        <v>219</v>
      </c>
    </row>
    <row r="735" spans="1:2" x14ac:dyDescent="0.25">
      <c r="A735" s="8">
        <v>44165</v>
      </c>
      <c r="B735">
        <v>227</v>
      </c>
    </row>
    <row r="736" spans="1:2" x14ac:dyDescent="0.25">
      <c r="A736" s="8">
        <v>44196</v>
      </c>
      <c r="B736">
        <v>188</v>
      </c>
    </row>
    <row r="737" spans="1:2" x14ac:dyDescent="0.25">
      <c r="A737" s="8">
        <v>44227</v>
      </c>
      <c r="B737">
        <v>-83</v>
      </c>
    </row>
    <row r="738" spans="1:2" x14ac:dyDescent="0.25">
      <c r="A738" s="8">
        <v>44255</v>
      </c>
      <c r="B738">
        <v>-199</v>
      </c>
    </row>
    <row r="739" spans="1:2" x14ac:dyDescent="0.25">
      <c r="A739" s="8">
        <v>44286</v>
      </c>
      <c r="B739">
        <v>-68</v>
      </c>
    </row>
    <row r="740" spans="1:2" x14ac:dyDescent="0.25">
      <c r="A740" s="8">
        <v>44316</v>
      </c>
      <c r="B740">
        <v>46</v>
      </c>
    </row>
    <row r="741" spans="1:2" x14ac:dyDescent="0.25">
      <c r="A741" s="8">
        <v>44347</v>
      </c>
      <c r="B741">
        <v>72</v>
      </c>
    </row>
    <row r="742" spans="1:2" x14ac:dyDescent="0.25">
      <c r="A742" s="8">
        <v>44377</v>
      </c>
      <c r="B742">
        <v>212</v>
      </c>
    </row>
    <row r="743" spans="1:2" x14ac:dyDescent="0.25">
      <c r="A743" s="8">
        <v>44408</v>
      </c>
      <c r="B743">
        <v>573</v>
      </c>
    </row>
    <row r="744" spans="1:2" x14ac:dyDescent="0.25">
      <c r="A744" s="8">
        <v>44439</v>
      </c>
      <c r="B744">
        <v>597</v>
      </c>
    </row>
    <row r="745" spans="1:2" x14ac:dyDescent="0.25">
      <c r="A745" s="8">
        <v>44469</v>
      </c>
      <c r="B745">
        <v>714</v>
      </c>
    </row>
    <row r="746" spans="1:2" x14ac:dyDescent="0.25">
      <c r="A746" s="8">
        <v>44500</v>
      </c>
      <c r="B746">
        <v>679</v>
      </c>
    </row>
    <row r="747" spans="1:2" x14ac:dyDescent="0.25">
      <c r="A747" s="8">
        <v>44530</v>
      </c>
      <c r="B747">
        <v>858</v>
      </c>
    </row>
    <row r="748" spans="1:2" x14ac:dyDescent="0.25">
      <c r="A748" s="8">
        <v>44561</v>
      </c>
      <c r="B748">
        <v>947</v>
      </c>
    </row>
    <row r="749" spans="1:2" x14ac:dyDescent="0.25">
      <c r="A749" s="8">
        <v>44592</v>
      </c>
      <c r="B749">
        <v>471</v>
      </c>
    </row>
    <row r="750" spans="1:2" x14ac:dyDescent="0.25">
      <c r="A750" s="8">
        <v>44620</v>
      </c>
      <c r="B750">
        <v>584</v>
      </c>
    </row>
    <row r="751" spans="1:2" x14ac:dyDescent="0.25">
      <c r="A751" s="8">
        <v>44651</v>
      </c>
      <c r="B751">
        <v>598</v>
      </c>
    </row>
    <row r="752" spans="1:2" x14ac:dyDescent="0.25">
      <c r="A752" s="8">
        <v>44681</v>
      </c>
      <c r="B752">
        <v>685</v>
      </c>
    </row>
    <row r="753" spans="1:2" x14ac:dyDescent="0.25">
      <c r="A753" s="8">
        <v>44712</v>
      </c>
      <c r="B753">
        <v>303</v>
      </c>
    </row>
    <row r="754" spans="1:2" x14ac:dyDescent="0.25">
      <c r="A754" s="8">
        <v>44742</v>
      </c>
      <c r="B754">
        <v>538</v>
      </c>
    </row>
    <row r="755" spans="1:2" x14ac:dyDescent="0.25">
      <c r="A755" s="8">
        <v>44773</v>
      </c>
      <c r="B755">
        <v>409</v>
      </c>
    </row>
    <row r="756" spans="1:2" x14ac:dyDescent="0.25">
      <c r="A756" s="8">
        <v>44804</v>
      </c>
      <c r="B756">
        <v>365</v>
      </c>
    </row>
    <row r="757" spans="1:2" x14ac:dyDescent="0.25">
      <c r="A757" s="8">
        <v>44834</v>
      </c>
      <c r="B757">
        <v>339</v>
      </c>
    </row>
    <row r="758" spans="1:2" x14ac:dyDescent="0.25">
      <c r="A758" s="8">
        <v>44865</v>
      </c>
      <c r="B758">
        <v>251</v>
      </c>
    </row>
    <row r="759" spans="1:2" x14ac:dyDescent="0.25">
      <c r="A759" s="8">
        <v>44895</v>
      </c>
      <c r="B759">
        <v>269</v>
      </c>
    </row>
    <row r="760" spans="1:2" x14ac:dyDescent="0.25">
      <c r="A760" s="8">
        <v>44926</v>
      </c>
      <c r="B760">
        <v>191</v>
      </c>
    </row>
    <row r="761" spans="1:2" x14ac:dyDescent="0.25">
      <c r="A761" s="8">
        <v>44957</v>
      </c>
      <c r="B761">
        <v>187</v>
      </c>
    </row>
    <row r="762" spans="1:2" x14ac:dyDescent="0.25">
      <c r="A762" s="8">
        <v>44985</v>
      </c>
      <c r="B762">
        <v>150</v>
      </c>
    </row>
    <row r="763" spans="1:2" x14ac:dyDescent="0.25">
      <c r="A763" s="8">
        <v>45016</v>
      </c>
      <c r="B763">
        <v>76</v>
      </c>
    </row>
    <row r="764" spans="1:2" x14ac:dyDescent="0.25">
      <c r="A764" s="8">
        <v>45046</v>
      </c>
      <c r="B764">
        <v>91</v>
      </c>
    </row>
    <row r="765" spans="1:2" x14ac:dyDescent="0.25">
      <c r="A765" s="8">
        <v>45077</v>
      </c>
      <c r="B765">
        <v>360</v>
      </c>
    </row>
    <row r="766" spans="1:2" x14ac:dyDescent="0.25">
      <c r="A766" s="8">
        <v>45107</v>
      </c>
      <c r="B766">
        <v>483</v>
      </c>
    </row>
    <row r="767" spans="1:2" x14ac:dyDescent="0.25">
      <c r="A767" s="8">
        <v>45138</v>
      </c>
      <c r="B767">
        <v>269</v>
      </c>
    </row>
    <row r="768" spans="1:2" x14ac:dyDescent="0.25">
      <c r="A768" s="8">
        <v>45169</v>
      </c>
      <c r="B768">
        <v>116</v>
      </c>
    </row>
    <row r="769" spans="1:2" x14ac:dyDescent="0.25">
      <c r="A769" s="8">
        <v>45199</v>
      </c>
      <c r="B769">
        <v>37</v>
      </c>
    </row>
    <row r="770" spans="1:2" x14ac:dyDescent="0.25">
      <c r="A770" s="8">
        <v>45230</v>
      </c>
      <c r="B770">
        <v>-29</v>
      </c>
    </row>
    <row r="771" spans="1:2" x14ac:dyDescent="0.25">
      <c r="A771" s="8">
        <v>45260</v>
      </c>
      <c r="B771">
        <v>105</v>
      </c>
    </row>
    <row r="772" spans="1:2" x14ac:dyDescent="0.25">
      <c r="A772" s="8">
        <v>45291</v>
      </c>
      <c r="B772">
        <v>282</v>
      </c>
    </row>
    <row r="773" spans="1:2" x14ac:dyDescent="0.25">
      <c r="A773" s="8">
        <v>45322</v>
      </c>
      <c r="B773">
        <v>240</v>
      </c>
    </row>
    <row r="774" spans="1:2" x14ac:dyDescent="0.25">
      <c r="A774" s="8">
        <v>45351</v>
      </c>
      <c r="B774">
        <v>-107</v>
      </c>
    </row>
    <row r="775" spans="1:2" x14ac:dyDescent="0.25">
      <c r="A775" s="8">
        <v>45382</v>
      </c>
      <c r="B775">
        <v>-103</v>
      </c>
    </row>
    <row r="776" spans="1:2" x14ac:dyDescent="0.25">
      <c r="A776" s="8">
        <v>45412</v>
      </c>
      <c r="B776">
        <v>44</v>
      </c>
    </row>
    <row r="777" spans="1:2" x14ac:dyDescent="0.25">
      <c r="A777" s="8">
        <v>45443</v>
      </c>
      <c r="B777">
        <v>201</v>
      </c>
    </row>
    <row r="778" spans="1:2" x14ac:dyDescent="0.25">
      <c r="A778" s="8">
        <v>45473</v>
      </c>
      <c r="B778">
        <v>104</v>
      </c>
    </row>
    <row r="779" spans="1:2" x14ac:dyDescent="0.25">
      <c r="A779" s="8">
        <v>45504</v>
      </c>
      <c r="B779">
        <v>120</v>
      </c>
    </row>
    <row r="780" spans="1:2" x14ac:dyDescent="0.25">
      <c r="A780" s="8">
        <v>45535</v>
      </c>
      <c r="B780">
        <v>46</v>
      </c>
    </row>
    <row r="781" spans="1:2" x14ac:dyDescent="0.25">
      <c r="A781" s="8">
        <v>45565</v>
      </c>
      <c r="B781">
        <v>-21</v>
      </c>
    </row>
    <row r="782" spans="1:2" x14ac:dyDescent="0.25">
      <c r="A782" s="8">
        <v>45596</v>
      </c>
      <c r="B782">
        <v>-12</v>
      </c>
    </row>
    <row r="783" spans="1:2" x14ac:dyDescent="0.25">
      <c r="A783" s="8">
        <v>45626</v>
      </c>
      <c r="B783">
        <v>102</v>
      </c>
    </row>
    <row r="784" spans="1:2" x14ac:dyDescent="0.25">
      <c r="A784" s="8">
        <v>45657</v>
      </c>
      <c r="B784">
        <v>157</v>
      </c>
    </row>
    <row r="785" spans="1:2" x14ac:dyDescent="0.25">
      <c r="A785" s="8">
        <v>45688</v>
      </c>
      <c r="B785">
        <v>140</v>
      </c>
    </row>
    <row r="786" spans="1:2" x14ac:dyDescent="0.25">
      <c r="A786" s="8">
        <v>45716</v>
      </c>
      <c r="B786">
        <v>14</v>
      </c>
    </row>
    <row r="787" spans="1:2" x14ac:dyDescent="0.25">
      <c r="A787" s="8">
        <v>45747</v>
      </c>
      <c r="B787">
        <v>-53</v>
      </c>
    </row>
    <row r="788" spans="1:2" x14ac:dyDescent="0.25">
      <c r="A788" s="8">
        <v>45777</v>
      </c>
      <c r="B788">
        <v>-23</v>
      </c>
    </row>
    <row r="789" spans="1:2" x14ac:dyDescent="0.25">
      <c r="A789" s="8">
        <v>45808</v>
      </c>
      <c r="B789">
        <v>-24</v>
      </c>
    </row>
    <row r="790" spans="1:2" x14ac:dyDescent="0.25">
      <c r="A790" s="8">
        <v>45838</v>
      </c>
      <c r="B790">
        <v>-1</v>
      </c>
    </row>
    <row r="791" spans="1:2" x14ac:dyDescent="0.25">
      <c r="A791" s="8">
        <v>45869</v>
      </c>
      <c r="B791">
        <v>77</v>
      </c>
    </row>
    <row r="792" spans="1:2" x14ac:dyDescent="0.25">
      <c r="A792" s="8">
        <v>45900</v>
      </c>
      <c r="B792">
        <v>49</v>
      </c>
    </row>
    <row r="793" spans="1:2" x14ac:dyDescent="0.25">
      <c r="A793" s="8">
        <v>45930</v>
      </c>
      <c r="B793">
        <v>88</v>
      </c>
    </row>
    <row r="794" spans="1:2" x14ac:dyDescent="0.25">
      <c r="A794" s="8">
        <v>45961</v>
      </c>
      <c r="B794">
        <v>20</v>
      </c>
    </row>
    <row r="795" spans="1:2" x14ac:dyDescent="0.25">
      <c r="A795" s="8">
        <v>45991</v>
      </c>
      <c r="B795">
        <v>74</v>
      </c>
    </row>
    <row r="796" spans="1:2" x14ac:dyDescent="0.25">
      <c r="A796" s="8">
        <v>46022</v>
      </c>
      <c r="B796">
        <v>37</v>
      </c>
    </row>
    <row r="797" spans="1:2" x14ac:dyDescent="0.25">
      <c r="A797" s="8">
        <v>46053</v>
      </c>
      <c r="B797">
        <v>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66CC"/>
  </sheetPr>
  <dimension ref="A1:D542"/>
  <sheetViews>
    <sheetView workbookViewId="0"/>
  </sheetViews>
  <sheetFormatPr baseColWidth="10" defaultColWidth="9.140625" defaultRowHeight="15" x14ac:dyDescent="0.25"/>
  <cols>
    <col min="1" max="1" width="20" customWidth="1"/>
    <col min="2" max="2" width="35" customWidth="1"/>
    <col min="3" max="3" width="25" customWidth="1"/>
    <col min="4" max="4" width="18" customWidth="1"/>
  </cols>
  <sheetData>
    <row r="1" spans="1:4" x14ac:dyDescent="0.25">
      <c r="A1" s="6" t="s">
        <v>386</v>
      </c>
      <c r="B1" s="6" t="s">
        <v>387</v>
      </c>
      <c r="C1" s="6" t="s">
        <v>388</v>
      </c>
      <c r="D1" s="6" t="s">
        <v>54</v>
      </c>
    </row>
    <row r="2" spans="1:4" x14ac:dyDescent="0.25">
      <c r="A2" s="8">
        <f ca="1">_xll.BDH("IPSA Index","PX_LAST","02/01/2016",TODAY(),"Per=M","cols=2;rows=121")</f>
        <v>42398</v>
      </c>
      <c r="B2">
        <v>3705.92</v>
      </c>
    </row>
    <row r="3" spans="1:4" x14ac:dyDescent="0.25">
      <c r="A3" s="8">
        <v>42429</v>
      </c>
      <c r="B3">
        <v>3715.84</v>
      </c>
    </row>
    <row r="4" spans="1:4" x14ac:dyDescent="0.25">
      <c r="A4" s="8">
        <v>42460</v>
      </c>
      <c r="B4">
        <v>3937.49</v>
      </c>
    </row>
    <row r="5" spans="1:4" x14ac:dyDescent="0.25">
      <c r="A5" s="8">
        <v>42489</v>
      </c>
      <c r="B5">
        <v>4002.07</v>
      </c>
    </row>
    <row r="6" spans="1:4" x14ac:dyDescent="0.25">
      <c r="A6" s="8">
        <v>42521</v>
      </c>
      <c r="B6">
        <v>3934.71</v>
      </c>
    </row>
    <row r="7" spans="1:4" x14ac:dyDescent="0.25">
      <c r="A7" s="8">
        <v>42551</v>
      </c>
      <c r="B7">
        <v>3995.91</v>
      </c>
    </row>
    <row r="8" spans="1:4" x14ac:dyDescent="0.25">
      <c r="A8" s="8">
        <v>42580</v>
      </c>
      <c r="B8">
        <v>4117.47</v>
      </c>
    </row>
    <row r="9" spans="1:4" x14ac:dyDescent="0.25">
      <c r="A9" s="8">
        <v>42613</v>
      </c>
      <c r="B9">
        <v>4119.28</v>
      </c>
    </row>
    <row r="10" spans="1:4" x14ac:dyDescent="0.25">
      <c r="A10" s="8">
        <v>42643</v>
      </c>
      <c r="B10">
        <v>4015.25</v>
      </c>
    </row>
    <row r="11" spans="1:4" x14ac:dyDescent="0.25">
      <c r="A11" s="8">
        <v>42674</v>
      </c>
      <c r="B11">
        <v>4289.78</v>
      </c>
    </row>
    <row r="12" spans="1:4" x14ac:dyDescent="0.25">
      <c r="A12" s="8">
        <v>42704</v>
      </c>
      <c r="B12">
        <v>4207.24</v>
      </c>
    </row>
    <row r="13" spans="1:4" x14ac:dyDescent="0.25">
      <c r="A13" s="8">
        <v>42734</v>
      </c>
      <c r="B13">
        <v>4151.3900000000003</v>
      </c>
    </row>
    <row r="14" spans="1:4" x14ac:dyDescent="0.25">
      <c r="A14" s="8">
        <v>42766</v>
      </c>
      <c r="B14">
        <v>4199.5</v>
      </c>
    </row>
    <row r="15" spans="1:4" x14ac:dyDescent="0.25">
      <c r="A15" s="8">
        <v>42794</v>
      </c>
      <c r="B15">
        <v>4359.88</v>
      </c>
    </row>
    <row r="16" spans="1:4" x14ac:dyDescent="0.25">
      <c r="A16" s="8">
        <v>42825</v>
      </c>
      <c r="B16">
        <v>4783.42</v>
      </c>
    </row>
    <row r="17" spans="1:2" x14ac:dyDescent="0.25">
      <c r="A17" s="8">
        <v>42853</v>
      </c>
      <c r="B17">
        <v>4795.13</v>
      </c>
    </row>
    <row r="18" spans="1:2" x14ac:dyDescent="0.25">
      <c r="A18" s="8">
        <v>42886</v>
      </c>
      <c r="B18">
        <v>4855.75</v>
      </c>
    </row>
    <row r="19" spans="1:2" x14ac:dyDescent="0.25">
      <c r="A19" s="8">
        <v>42916</v>
      </c>
      <c r="B19">
        <v>4747.24</v>
      </c>
    </row>
    <row r="20" spans="1:2" x14ac:dyDescent="0.25">
      <c r="A20" s="8">
        <v>42947</v>
      </c>
      <c r="B20">
        <v>5064.63</v>
      </c>
    </row>
    <row r="21" spans="1:2" x14ac:dyDescent="0.25">
      <c r="A21" s="8">
        <v>42978</v>
      </c>
      <c r="B21">
        <v>5153.1499999999996</v>
      </c>
    </row>
    <row r="22" spans="1:2" x14ac:dyDescent="0.25">
      <c r="A22" s="8">
        <v>43007</v>
      </c>
      <c r="B22">
        <v>5341.93</v>
      </c>
    </row>
    <row r="23" spans="1:2" x14ac:dyDescent="0.25">
      <c r="A23" s="8">
        <v>43039</v>
      </c>
      <c r="B23">
        <v>5588.09</v>
      </c>
    </row>
    <row r="24" spans="1:2" x14ac:dyDescent="0.25">
      <c r="A24" s="8">
        <v>43069</v>
      </c>
      <c r="B24">
        <v>5003.3999999999996</v>
      </c>
    </row>
    <row r="25" spans="1:2" x14ac:dyDescent="0.25">
      <c r="A25" s="8">
        <v>43098</v>
      </c>
      <c r="B25">
        <v>5564.6</v>
      </c>
    </row>
    <row r="26" spans="1:2" x14ac:dyDescent="0.25">
      <c r="A26" s="8">
        <v>43131</v>
      </c>
      <c r="B26">
        <v>5855.38</v>
      </c>
    </row>
    <row r="27" spans="1:2" x14ac:dyDescent="0.25">
      <c r="A27" s="8">
        <v>43159</v>
      </c>
      <c r="B27">
        <v>5602.83</v>
      </c>
    </row>
    <row r="28" spans="1:2" x14ac:dyDescent="0.25">
      <c r="A28" s="8">
        <v>43189</v>
      </c>
      <c r="B28">
        <v>5542.22</v>
      </c>
    </row>
    <row r="29" spans="1:2" x14ac:dyDescent="0.25">
      <c r="A29" s="8">
        <v>43220</v>
      </c>
      <c r="B29">
        <v>5710.9</v>
      </c>
    </row>
    <row r="30" spans="1:2" x14ac:dyDescent="0.25">
      <c r="A30" s="8">
        <v>43251</v>
      </c>
      <c r="B30">
        <v>5455.09</v>
      </c>
    </row>
    <row r="31" spans="1:2" x14ac:dyDescent="0.25">
      <c r="A31" s="8">
        <v>43280</v>
      </c>
      <c r="B31">
        <v>5301.25</v>
      </c>
    </row>
    <row r="32" spans="1:2" x14ac:dyDescent="0.25">
      <c r="A32" s="8">
        <v>43312</v>
      </c>
      <c r="B32">
        <v>5434.44</v>
      </c>
    </row>
    <row r="33" spans="1:2" x14ac:dyDescent="0.25">
      <c r="A33" s="8">
        <v>43343</v>
      </c>
      <c r="B33">
        <v>5270.44</v>
      </c>
    </row>
    <row r="34" spans="1:2" x14ac:dyDescent="0.25">
      <c r="A34" s="8">
        <v>43371</v>
      </c>
      <c r="B34">
        <v>5283.53</v>
      </c>
    </row>
    <row r="35" spans="1:2" x14ac:dyDescent="0.25">
      <c r="A35" s="8">
        <v>43404</v>
      </c>
      <c r="B35">
        <v>5104.33</v>
      </c>
    </row>
    <row r="36" spans="1:2" x14ac:dyDescent="0.25">
      <c r="A36" s="8">
        <v>43434</v>
      </c>
      <c r="B36">
        <v>5111.88</v>
      </c>
    </row>
    <row r="37" spans="1:2" x14ac:dyDescent="0.25">
      <c r="A37" s="8">
        <v>43465</v>
      </c>
      <c r="B37">
        <v>5105.43</v>
      </c>
    </row>
    <row r="38" spans="1:2" x14ac:dyDescent="0.25">
      <c r="A38" s="8">
        <v>43496</v>
      </c>
      <c r="B38">
        <v>5405.61</v>
      </c>
    </row>
    <row r="39" spans="1:2" x14ac:dyDescent="0.25">
      <c r="A39" s="8">
        <v>43524</v>
      </c>
      <c r="B39">
        <v>5287.54</v>
      </c>
    </row>
    <row r="40" spans="1:2" x14ac:dyDescent="0.25">
      <c r="A40" s="8">
        <v>43553</v>
      </c>
      <c r="B40">
        <v>5259.41</v>
      </c>
    </row>
    <row r="41" spans="1:2" x14ac:dyDescent="0.25">
      <c r="A41" s="8">
        <v>43585</v>
      </c>
      <c r="B41">
        <v>5187.1000000000004</v>
      </c>
    </row>
    <row r="42" spans="1:2" x14ac:dyDescent="0.25">
      <c r="A42" s="8">
        <v>43616</v>
      </c>
      <c r="B42">
        <v>4977.09</v>
      </c>
    </row>
    <row r="43" spans="1:2" x14ac:dyDescent="0.25">
      <c r="A43" s="8">
        <v>43644</v>
      </c>
      <c r="B43">
        <v>5070.72</v>
      </c>
    </row>
    <row r="44" spans="1:2" x14ac:dyDescent="0.25">
      <c r="A44" s="8">
        <v>43677</v>
      </c>
      <c r="B44">
        <v>4972.3599999999997</v>
      </c>
    </row>
    <row r="45" spans="1:2" x14ac:dyDescent="0.25">
      <c r="A45" s="8">
        <v>43707</v>
      </c>
      <c r="B45">
        <v>4804.37</v>
      </c>
    </row>
    <row r="46" spans="1:2" x14ac:dyDescent="0.25">
      <c r="A46" s="8">
        <v>43738</v>
      </c>
      <c r="B46">
        <v>5059.04</v>
      </c>
    </row>
    <row r="47" spans="1:2" x14ac:dyDescent="0.25">
      <c r="A47" s="8">
        <v>43769</v>
      </c>
      <c r="B47">
        <v>4744.13</v>
      </c>
    </row>
    <row r="48" spans="1:2" x14ac:dyDescent="0.25">
      <c r="A48" s="8">
        <v>43798</v>
      </c>
      <c r="B48">
        <v>4538.8</v>
      </c>
    </row>
    <row r="49" spans="1:2" x14ac:dyDescent="0.25">
      <c r="A49" s="8">
        <v>43830</v>
      </c>
      <c r="B49">
        <v>4669.8500000000004</v>
      </c>
    </row>
    <row r="50" spans="1:2" x14ac:dyDescent="0.25">
      <c r="A50" s="8">
        <v>43861</v>
      </c>
      <c r="B50">
        <v>4572.0600000000004</v>
      </c>
    </row>
    <row r="51" spans="1:2" x14ac:dyDescent="0.25">
      <c r="A51" s="8">
        <v>43889</v>
      </c>
      <c r="B51">
        <v>4122.63</v>
      </c>
    </row>
    <row r="52" spans="1:2" x14ac:dyDescent="0.25">
      <c r="A52" s="8">
        <v>43921</v>
      </c>
      <c r="B52">
        <v>3487.49</v>
      </c>
    </row>
    <row r="53" spans="1:2" x14ac:dyDescent="0.25">
      <c r="A53" s="8">
        <v>43951</v>
      </c>
      <c r="B53">
        <v>3977.56</v>
      </c>
    </row>
    <row r="54" spans="1:2" x14ac:dyDescent="0.25">
      <c r="A54" s="8">
        <v>43980</v>
      </c>
      <c r="B54">
        <v>3647.6</v>
      </c>
    </row>
    <row r="55" spans="1:2" x14ac:dyDescent="0.25">
      <c r="A55" s="8">
        <v>44012</v>
      </c>
      <c r="B55">
        <v>3959.02</v>
      </c>
    </row>
    <row r="56" spans="1:2" x14ac:dyDescent="0.25">
      <c r="A56" s="8">
        <v>44043</v>
      </c>
      <c r="B56">
        <v>4017.08</v>
      </c>
    </row>
    <row r="57" spans="1:2" x14ac:dyDescent="0.25">
      <c r="A57" s="8">
        <v>44074</v>
      </c>
      <c r="B57">
        <v>3767.15</v>
      </c>
    </row>
    <row r="58" spans="1:2" x14ac:dyDescent="0.25">
      <c r="A58" s="8">
        <v>44104</v>
      </c>
      <c r="B58">
        <v>3637.3</v>
      </c>
    </row>
    <row r="59" spans="1:2" x14ac:dyDescent="0.25">
      <c r="A59" s="8">
        <v>44134</v>
      </c>
      <c r="B59">
        <v>3539.92</v>
      </c>
    </row>
    <row r="60" spans="1:2" x14ac:dyDescent="0.25">
      <c r="A60" s="8">
        <v>44165</v>
      </c>
      <c r="B60">
        <v>4032.87</v>
      </c>
    </row>
    <row r="61" spans="1:2" x14ac:dyDescent="0.25">
      <c r="A61" s="8">
        <v>44196</v>
      </c>
      <c r="B61">
        <v>4177.22</v>
      </c>
    </row>
    <row r="62" spans="1:2" x14ac:dyDescent="0.25">
      <c r="A62" s="8">
        <v>44225</v>
      </c>
      <c r="B62">
        <v>4288.6499999999996</v>
      </c>
    </row>
    <row r="63" spans="1:2" x14ac:dyDescent="0.25">
      <c r="A63" s="8">
        <v>44253</v>
      </c>
      <c r="B63">
        <v>4573.37</v>
      </c>
    </row>
    <row r="64" spans="1:2" x14ac:dyDescent="0.25">
      <c r="A64" s="8">
        <v>44286</v>
      </c>
      <c r="B64">
        <v>4898.09</v>
      </c>
    </row>
    <row r="65" spans="1:2" x14ac:dyDescent="0.25">
      <c r="A65" s="8">
        <v>44316</v>
      </c>
      <c r="B65">
        <v>4472.84</v>
      </c>
    </row>
    <row r="66" spans="1:2" x14ac:dyDescent="0.25">
      <c r="A66" s="8">
        <v>44347</v>
      </c>
      <c r="B66">
        <v>4356.43</v>
      </c>
    </row>
    <row r="67" spans="1:2" x14ac:dyDescent="0.25">
      <c r="A67" s="8">
        <v>44377</v>
      </c>
      <c r="B67">
        <v>4331.33</v>
      </c>
    </row>
    <row r="68" spans="1:2" x14ac:dyDescent="0.25">
      <c r="A68" s="8">
        <v>44407</v>
      </c>
      <c r="B68">
        <v>4252.04</v>
      </c>
    </row>
    <row r="69" spans="1:2" x14ac:dyDescent="0.25">
      <c r="A69" s="8">
        <v>44439</v>
      </c>
      <c r="B69">
        <v>4491.57</v>
      </c>
    </row>
    <row r="70" spans="1:2" x14ac:dyDescent="0.25">
      <c r="A70" s="8">
        <v>44469</v>
      </c>
      <c r="B70">
        <v>4362.59</v>
      </c>
    </row>
    <row r="71" spans="1:2" x14ac:dyDescent="0.25">
      <c r="A71" s="8">
        <v>44498</v>
      </c>
      <c r="B71">
        <v>4092.2</v>
      </c>
    </row>
    <row r="72" spans="1:2" x14ac:dyDescent="0.25">
      <c r="A72" s="8">
        <v>44530</v>
      </c>
      <c r="B72">
        <v>4432.71</v>
      </c>
    </row>
    <row r="73" spans="1:2" x14ac:dyDescent="0.25">
      <c r="A73" s="8">
        <v>44561</v>
      </c>
      <c r="B73">
        <v>4308.38</v>
      </c>
    </row>
    <row r="74" spans="1:2" x14ac:dyDescent="0.25">
      <c r="A74" s="8">
        <v>44592</v>
      </c>
      <c r="B74">
        <v>4548.45</v>
      </c>
    </row>
    <row r="75" spans="1:2" x14ac:dyDescent="0.25">
      <c r="A75" s="8">
        <v>44620</v>
      </c>
      <c r="B75">
        <v>4534.47</v>
      </c>
    </row>
    <row r="76" spans="1:2" x14ac:dyDescent="0.25">
      <c r="A76" s="8">
        <v>44651</v>
      </c>
      <c r="B76">
        <v>4936.97</v>
      </c>
    </row>
    <row r="77" spans="1:2" x14ac:dyDescent="0.25">
      <c r="A77" s="8">
        <v>44680</v>
      </c>
      <c r="B77">
        <v>4778.43</v>
      </c>
    </row>
    <row r="78" spans="1:2" x14ac:dyDescent="0.25">
      <c r="A78" s="8">
        <v>44712</v>
      </c>
      <c r="B78">
        <v>5350.48</v>
      </c>
    </row>
    <row r="79" spans="1:2" x14ac:dyDescent="0.25">
      <c r="A79" s="8">
        <v>44742</v>
      </c>
      <c r="B79">
        <v>4950.3900000000003</v>
      </c>
    </row>
    <row r="80" spans="1:2" x14ac:dyDescent="0.25">
      <c r="A80" s="8">
        <v>44771</v>
      </c>
      <c r="B80">
        <v>5259.05</v>
      </c>
    </row>
    <row r="81" spans="1:2" x14ac:dyDescent="0.25">
      <c r="A81" s="8">
        <v>44804</v>
      </c>
      <c r="B81">
        <v>5441.26</v>
      </c>
    </row>
    <row r="82" spans="1:2" x14ac:dyDescent="0.25">
      <c r="A82" s="8">
        <v>44834</v>
      </c>
      <c r="B82">
        <v>5114.1899999999996</v>
      </c>
    </row>
    <row r="83" spans="1:2" x14ac:dyDescent="0.25">
      <c r="A83" s="8">
        <v>44865</v>
      </c>
      <c r="B83">
        <v>5193.8100000000004</v>
      </c>
    </row>
    <row r="84" spans="1:2" x14ac:dyDescent="0.25">
      <c r="A84" s="8">
        <v>44895</v>
      </c>
      <c r="B84">
        <v>5282.61</v>
      </c>
    </row>
    <row r="85" spans="1:2" x14ac:dyDescent="0.25">
      <c r="A85" s="8">
        <v>44925</v>
      </c>
      <c r="B85">
        <v>5261.91</v>
      </c>
    </row>
    <row r="86" spans="1:2" x14ac:dyDescent="0.25">
      <c r="A86" s="8">
        <v>44957</v>
      </c>
      <c r="B86">
        <v>5322.39</v>
      </c>
    </row>
    <row r="87" spans="1:2" x14ac:dyDescent="0.25">
      <c r="A87" s="8">
        <v>44985</v>
      </c>
      <c r="B87">
        <v>5394.9</v>
      </c>
    </row>
    <row r="88" spans="1:2" x14ac:dyDescent="0.25">
      <c r="A88" s="8">
        <v>45016</v>
      </c>
      <c r="B88">
        <v>5324.62</v>
      </c>
    </row>
    <row r="89" spans="1:2" x14ac:dyDescent="0.25">
      <c r="A89" s="8">
        <v>45044</v>
      </c>
      <c r="B89">
        <v>5416.09</v>
      </c>
    </row>
    <row r="90" spans="1:2" x14ac:dyDescent="0.25">
      <c r="A90" s="8">
        <v>45077</v>
      </c>
      <c r="B90">
        <v>5471.54</v>
      </c>
    </row>
    <row r="91" spans="1:2" x14ac:dyDescent="0.25">
      <c r="A91" s="8">
        <v>45107</v>
      </c>
      <c r="B91">
        <v>5786.8</v>
      </c>
    </row>
    <row r="92" spans="1:2" x14ac:dyDescent="0.25">
      <c r="A92" s="8">
        <v>45138</v>
      </c>
      <c r="B92">
        <v>6394.4</v>
      </c>
    </row>
    <row r="93" spans="1:2" x14ac:dyDescent="0.25">
      <c r="A93" s="8">
        <v>45169</v>
      </c>
      <c r="B93">
        <v>6009.28</v>
      </c>
    </row>
    <row r="94" spans="1:2" x14ac:dyDescent="0.25">
      <c r="A94" s="8">
        <v>45198</v>
      </c>
      <c r="B94">
        <v>5833.36</v>
      </c>
    </row>
    <row r="95" spans="1:2" x14ac:dyDescent="0.25">
      <c r="A95" s="8">
        <v>45230</v>
      </c>
      <c r="B95">
        <v>5407.5</v>
      </c>
    </row>
    <row r="96" spans="1:2" x14ac:dyDescent="0.25">
      <c r="A96" s="8">
        <v>45260</v>
      </c>
      <c r="B96">
        <v>5818.51</v>
      </c>
    </row>
    <row r="97" spans="1:2" x14ac:dyDescent="0.25">
      <c r="A97" s="8">
        <v>45289</v>
      </c>
      <c r="B97">
        <v>6197.77</v>
      </c>
    </row>
    <row r="98" spans="1:2" x14ac:dyDescent="0.25">
      <c r="A98" s="8">
        <v>45322</v>
      </c>
      <c r="B98">
        <v>5987.14</v>
      </c>
    </row>
    <row r="99" spans="1:2" x14ac:dyDescent="0.25">
      <c r="A99" s="8">
        <v>45351</v>
      </c>
      <c r="B99">
        <v>6449.88</v>
      </c>
    </row>
    <row r="100" spans="1:2" x14ac:dyDescent="0.25">
      <c r="A100" s="8">
        <v>45380</v>
      </c>
      <c r="B100">
        <v>6643.76</v>
      </c>
    </row>
    <row r="101" spans="1:2" x14ac:dyDescent="0.25">
      <c r="A101" s="8">
        <v>45412</v>
      </c>
      <c r="B101">
        <v>6511.93</v>
      </c>
    </row>
    <row r="102" spans="1:2" x14ac:dyDescent="0.25">
      <c r="A102" s="8">
        <v>45443</v>
      </c>
      <c r="B102">
        <v>6632.8</v>
      </c>
    </row>
    <row r="103" spans="1:2" x14ac:dyDescent="0.25">
      <c r="A103" s="8">
        <v>45471</v>
      </c>
      <c r="B103">
        <v>6413.88</v>
      </c>
    </row>
    <row r="104" spans="1:2" x14ac:dyDescent="0.25">
      <c r="A104" s="8">
        <v>45504</v>
      </c>
      <c r="B104">
        <v>6440.56</v>
      </c>
    </row>
    <row r="105" spans="1:2" x14ac:dyDescent="0.25">
      <c r="A105" s="8">
        <v>45534</v>
      </c>
      <c r="B105">
        <v>6459.96</v>
      </c>
    </row>
    <row r="106" spans="1:2" x14ac:dyDescent="0.25">
      <c r="A106" s="8">
        <v>45565</v>
      </c>
      <c r="B106">
        <v>6490.57</v>
      </c>
    </row>
    <row r="107" spans="1:2" x14ac:dyDescent="0.25">
      <c r="A107" s="8">
        <v>45596</v>
      </c>
      <c r="B107">
        <v>6550.32</v>
      </c>
    </row>
    <row r="108" spans="1:2" x14ac:dyDescent="0.25">
      <c r="A108" s="8">
        <v>45625</v>
      </c>
      <c r="B108">
        <v>6576.6</v>
      </c>
    </row>
    <row r="109" spans="1:2" x14ac:dyDescent="0.25">
      <c r="A109" s="8">
        <v>45657</v>
      </c>
      <c r="B109">
        <v>6710.02</v>
      </c>
    </row>
    <row r="110" spans="1:2" x14ac:dyDescent="0.25">
      <c r="A110" s="8">
        <v>45688</v>
      </c>
      <c r="B110">
        <v>7199.59</v>
      </c>
    </row>
    <row r="111" spans="1:2" x14ac:dyDescent="0.25">
      <c r="A111" s="8">
        <v>45716</v>
      </c>
      <c r="B111">
        <v>7332.12</v>
      </c>
    </row>
    <row r="112" spans="1:2" x14ac:dyDescent="0.25">
      <c r="A112" s="8">
        <v>45747</v>
      </c>
      <c r="B112">
        <v>7648.59</v>
      </c>
    </row>
    <row r="113" spans="1:2" x14ac:dyDescent="0.25">
      <c r="A113" s="8">
        <v>45777</v>
      </c>
      <c r="B113">
        <v>8041.14</v>
      </c>
    </row>
    <row r="114" spans="1:2" x14ac:dyDescent="0.25">
      <c r="A114" s="8">
        <v>45807</v>
      </c>
      <c r="B114">
        <v>8047.51</v>
      </c>
    </row>
    <row r="115" spans="1:2" x14ac:dyDescent="0.25">
      <c r="A115" s="8">
        <v>45838</v>
      </c>
      <c r="B115">
        <v>8247.57</v>
      </c>
    </row>
    <row r="116" spans="1:2" x14ac:dyDescent="0.25">
      <c r="A116" s="8">
        <v>45869</v>
      </c>
      <c r="B116">
        <v>8186.1</v>
      </c>
    </row>
    <row r="117" spans="1:2" x14ac:dyDescent="0.25">
      <c r="A117" s="8">
        <v>45898</v>
      </c>
      <c r="B117">
        <v>8899.91</v>
      </c>
    </row>
    <row r="118" spans="1:2" x14ac:dyDescent="0.25">
      <c r="A118" s="8">
        <v>45930</v>
      </c>
      <c r="B118">
        <v>8970.68</v>
      </c>
    </row>
    <row r="119" spans="1:2" x14ac:dyDescent="0.25">
      <c r="A119" s="8">
        <v>45961</v>
      </c>
      <c r="B119">
        <v>9428.89</v>
      </c>
    </row>
    <row r="120" spans="1:2" x14ac:dyDescent="0.25">
      <c r="A120" s="8">
        <v>45989</v>
      </c>
      <c r="B120">
        <v>10128.58</v>
      </c>
    </row>
    <row r="121" spans="1:2" x14ac:dyDescent="0.25">
      <c r="A121" s="8">
        <v>46022</v>
      </c>
      <c r="B121">
        <v>10481.4</v>
      </c>
    </row>
    <row r="122" spans="1:2" x14ac:dyDescent="0.25">
      <c r="A122" s="8">
        <v>46052</v>
      </c>
      <c r="B122">
        <v>11420.07</v>
      </c>
    </row>
    <row r="136" spans="1:4" x14ac:dyDescent="0.25">
      <c r="A136" s="6" t="s">
        <v>389</v>
      </c>
      <c r="B136" s="6" t="s">
        <v>390</v>
      </c>
      <c r="C136" s="6" t="s">
        <v>391</v>
      </c>
      <c r="D136" s="6" t="s">
        <v>54</v>
      </c>
    </row>
    <row r="137" spans="1:4" x14ac:dyDescent="0.25">
      <c r="A137" s="8">
        <f ca="1">_xll.BDH("USDCLP Curncy","PX_LAST","02/01/2016",TODAY(),"Per=M","cols=2;rows=121")</f>
        <v>42398</v>
      </c>
      <c r="B137">
        <v>711.71</v>
      </c>
    </row>
    <row r="138" spans="1:4" x14ac:dyDescent="0.25">
      <c r="A138" s="8">
        <v>42429</v>
      </c>
      <c r="B138">
        <v>695.91</v>
      </c>
    </row>
    <row r="139" spans="1:4" x14ac:dyDescent="0.25">
      <c r="A139" s="8">
        <v>42460</v>
      </c>
      <c r="B139">
        <v>667.74</v>
      </c>
    </row>
    <row r="140" spans="1:4" x14ac:dyDescent="0.25">
      <c r="A140" s="8">
        <v>42489</v>
      </c>
      <c r="B140">
        <v>660.41</v>
      </c>
    </row>
    <row r="141" spans="1:4" x14ac:dyDescent="0.25">
      <c r="A141" s="8">
        <v>42521</v>
      </c>
      <c r="B141">
        <v>691.42</v>
      </c>
    </row>
    <row r="142" spans="1:4" x14ac:dyDescent="0.25">
      <c r="A142" s="8">
        <v>42551</v>
      </c>
      <c r="B142">
        <v>663.26</v>
      </c>
    </row>
    <row r="143" spans="1:4" x14ac:dyDescent="0.25">
      <c r="A143" s="8">
        <v>42580</v>
      </c>
      <c r="B143">
        <v>655.68</v>
      </c>
    </row>
    <row r="144" spans="1:4" x14ac:dyDescent="0.25">
      <c r="A144" s="8">
        <v>42613</v>
      </c>
      <c r="B144">
        <v>679.97</v>
      </c>
    </row>
    <row r="145" spans="1:2" x14ac:dyDescent="0.25">
      <c r="A145" s="8">
        <v>42643</v>
      </c>
      <c r="B145">
        <v>657.32</v>
      </c>
    </row>
    <row r="146" spans="1:2" x14ac:dyDescent="0.25">
      <c r="A146" s="8">
        <v>42674</v>
      </c>
      <c r="B146">
        <v>651.17999999999995</v>
      </c>
    </row>
    <row r="147" spans="1:2" x14ac:dyDescent="0.25">
      <c r="A147" s="8">
        <v>42704</v>
      </c>
      <c r="B147">
        <v>674.19</v>
      </c>
    </row>
    <row r="148" spans="1:2" x14ac:dyDescent="0.25">
      <c r="A148" s="8">
        <v>42734</v>
      </c>
      <c r="B148">
        <v>670.68</v>
      </c>
    </row>
    <row r="149" spans="1:2" x14ac:dyDescent="0.25">
      <c r="A149" s="8">
        <v>42766</v>
      </c>
      <c r="B149">
        <v>647.24</v>
      </c>
    </row>
    <row r="150" spans="1:2" x14ac:dyDescent="0.25">
      <c r="A150" s="8">
        <v>42794</v>
      </c>
      <c r="B150">
        <v>650.38</v>
      </c>
    </row>
    <row r="151" spans="1:2" x14ac:dyDescent="0.25">
      <c r="A151" s="8">
        <v>42825</v>
      </c>
      <c r="B151">
        <v>660.25</v>
      </c>
    </row>
    <row r="152" spans="1:2" x14ac:dyDescent="0.25">
      <c r="A152" s="8">
        <v>42853</v>
      </c>
      <c r="B152">
        <v>667.4</v>
      </c>
    </row>
    <row r="153" spans="1:2" x14ac:dyDescent="0.25">
      <c r="A153" s="8">
        <v>42886</v>
      </c>
      <c r="B153">
        <v>672.6</v>
      </c>
    </row>
    <row r="154" spans="1:2" x14ac:dyDescent="0.25">
      <c r="A154" s="8">
        <v>42916</v>
      </c>
      <c r="B154">
        <v>663.8</v>
      </c>
    </row>
    <row r="155" spans="1:2" x14ac:dyDescent="0.25">
      <c r="A155" s="8">
        <v>42947</v>
      </c>
      <c r="B155">
        <v>651.29999999999995</v>
      </c>
    </row>
    <row r="156" spans="1:2" x14ac:dyDescent="0.25">
      <c r="A156" s="8">
        <v>42978</v>
      </c>
      <c r="B156">
        <v>626.74</v>
      </c>
    </row>
    <row r="157" spans="1:2" x14ac:dyDescent="0.25">
      <c r="A157" s="8">
        <v>43007</v>
      </c>
      <c r="B157">
        <v>639.03</v>
      </c>
    </row>
    <row r="158" spans="1:2" x14ac:dyDescent="0.25">
      <c r="A158" s="8">
        <v>43039</v>
      </c>
      <c r="B158">
        <v>635.33000000000004</v>
      </c>
    </row>
    <row r="159" spans="1:2" x14ac:dyDescent="0.25">
      <c r="A159" s="8">
        <v>43069</v>
      </c>
      <c r="B159">
        <v>648.73</v>
      </c>
    </row>
    <row r="160" spans="1:2" x14ac:dyDescent="0.25">
      <c r="A160" s="8">
        <v>43098</v>
      </c>
      <c r="B160">
        <v>615.44000000000005</v>
      </c>
    </row>
    <row r="161" spans="1:2" x14ac:dyDescent="0.25">
      <c r="A161" s="8">
        <v>43131</v>
      </c>
      <c r="B161">
        <v>601.20000000000005</v>
      </c>
    </row>
    <row r="162" spans="1:2" x14ac:dyDescent="0.25">
      <c r="A162" s="8">
        <v>43159</v>
      </c>
      <c r="B162">
        <v>594.28</v>
      </c>
    </row>
    <row r="163" spans="1:2" x14ac:dyDescent="0.25">
      <c r="A163" s="8">
        <v>43189</v>
      </c>
      <c r="B163">
        <v>603.9</v>
      </c>
    </row>
    <row r="164" spans="1:2" x14ac:dyDescent="0.25">
      <c r="A164" s="8">
        <v>43220</v>
      </c>
      <c r="B164">
        <v>613.66</v>
      </c>
    </row>
    <row r="165" spans="1:2" x14ac:dyDescent="0.25">
      <c r="A165" s="8">
        <v>43251</v>
      </c>
      <c r="B165">
        <v>632.01</v>
      </c>
    </row>
    <row r="166" spans="1:2" x14ac:dyDescent="0.25">
      <c r="A166" s="8">
        <v>43280</v>
      </c>
      <c r="B166">
        <v>654.35</v>
      </c>
    </row>
    <row r="167" spans="1:2" x14ac:dyDescent="0.25">
      <c r="A167" s="8">
        <v>43312</v>
      </c>
      <c r="B167">
        <v>636.66</v>
      </c>
    </row>
    <row r="168" spans="1:2" x14ac:dyDescent="0.25">
      <c r="A168" s="8">
        <v>43343</v>
      </c>
      <c r="B168">
        <v>682.74</v>
      </c>
    </row>
    <row r="169" spans="1:2" x14ac:dyDescent="0.25">
      <c r="A169" s="8">
        <v>43371</v>
      </c>
      <c r="B169">
        <v>656.85</v>
      </c>
    </row>
    <row r="170" spans="1:2" x14ac:dyDescent="0.25">
      <c r="A170" s="8">
        <v>43404</v>
      </c>
      <c r="B170">
        <v>696.64</v>
      </c>
    </row>
    <row r="171" spans="1:2" x14ac:dyDescent="0.25">
      <c r="A171" s="8">
        <v>43434</v>
      </c>
      <c r="B171">
        <v>672.55</v>
      </c>
    </row>
    <row r="172" spans="1:2" x14ac:dyDescent="0.25">
      <c r="A172" s="8">
        <v>43465</v>
      </c>
      <c r="B172">
        <v>693.6</v>
      </c>
    </row>
    <row r="173" spans="1:2" x14ac:dyDescent="0.25">
      <c r="A173" s="8">
        <v>43496</v>
      </c>
      <c r="B173">
        <v>654.45000000000005</v>
      </c>
    </row>
    <row r="174" spans="1:2" x14ac:dyDescent="0.25">
      <c r="A174" s="8">
        <v>43524</v>
      </c>
      <c r="B174">
        <v>654.63</v>
      </c>
    </row>
    <row r="175" spans="1:2" x14ac:dyDescent="0.25">
      <c r="A175" s="8">
        <v>43553</v>
      </c>
      <c r="B175">
        <v>679.7</v>
      </c>
    </row>
    <row r="176" spans="1:2" x14ac:dyDescent="0.25">
      <c r="A176" s="8">
        <v>43585</v>
      </c>
      <c r="B176">
        <v>676.7</v>
      </c>
    </row>
    <row r="177" spans="1:2" x14ac:dyDescent="0.25">
      <c r="A177" s="8">
        <v>43616</v>
      </c>
      <c r="B177">
        <v>710.36</v>
      </c>
    </row>
    <row r="178" spans="1:2" x14ac:dyDescent="0.25">
      <c r="A178" s="8">
        <v>43644</v>
      </c>
      <c r="B178">
        <v>678.72</v>
      </c>
    </row>
    <row r="179" spans="1:2" x14ac:dyDescent="0.25">
      <c r="A179" s="8">
        <v>43677</v>
      </c>
      <c r="B179">
        <v>697.1</v>
      </c>
    </row>
    <row r="180" spans="1:2" x14ac:dyDescent="0.25">
      <c r="A180" s="8">
        <v>43707</v>
      </c>
      <c r="B180">
        <v>721.7</v>
      </c>
    </row>
    <row r="181" spans="1:2" x14ac:dyDescent="0.25">
      <c r="A181" s="8">
        <v>43738</v>
      </c>
      <c r="B181">
        <v>728.41</v>
      </c>
    </row>
    <row r="182" spans="1:2" x14ac:dyDescent="0.25">
      <c r="A182" s="8">
        <v>43769</v>
      </c>
      <c r="B182">
        <v>740.5</v>
      </c>
    </row>
    <row r="183" spans="1:2" x14ac:dyDescent="0.25">
      <c r="A183" s="8">
        <v>43798</v>
      </c>
      <c r="B183">
        <v>810.47</v>
      </c>
    </row>
    <row r="184" spans="1:2" x14ac:dyDescent="0.25">
      <c r="A184" s="8">
        <v>43830</v>
      </c>
      <c r="B184">
        <v>751.75</v>
      </c>
    </row>
    <row r="185" spans="1:2" x14ac:dyDescent="0.25">
      <c r="A185" s="8">
        <v>43861</v>
      </c>
      <c r="B185">
        <v>800.49</v>
      </c>
    </row>
    <row r="186" spans="1:2" x14ac:dyDescent="0.25">
      <c r="A186" s="8">
        <v>43889</v>
      </c>
      <c r="B186">
        <v>820.78</v>
      </c>
    </row>
    <row r="187" spans="1:2" x14ac:dyDescent="0.25">
      <c r="A187" s="8">
        <v>43921</v>
      </c>
      <c r="B187">
        <v>855.15</v>
      </c>
    </row>
    <row r="188" spans="1:2" x14ac:dyDescent="0.25">
      <c r="A188" s="8">
        <v>43951</v>
      </c>
      <c r="B188">
        <v>835.58</v>
      </c>
    </row>
    <row r="189" spans="1:2" x14ac:dyDescent="0.25">
      <c r="A189" s="8">
        <v>43980</v>
      </c>
      <c r="B189">
        <v>806.63</v>
      </c>
    </row>
    <row r="190" spans="1:2" x14ac:dyDescent="0.25">
      <c r="A190" s="8">
        <v>44012</v>
      </c>
      <c r="B190">
        <v>821.22</v>
      </c>
    </row>
    <row r="191" spans="1:2" x14ac:dyDescent="0.25">
      <c r="A191" s="8">
        <v>44043</v>
      </c>
      <c r="B191">
        <v>757.77</v>
      </c>
    </row>
    <row r="192" spans="1:2" x14ac:dyDescent="0.25">
      <c r="A192" s="8">
        <v>44074</v>
      </c>
      <c r="B192">
        <v>776.65</v>
      </c>
    </row>
    <row r="193" spans="1:2" x14ac:dyDescent="0.25">
      <c r="A193" s="8">
        <v>44104</v>
      </c>
      <c r="B193">
        <v>784.33</v>
      </c>
    </row>
    <row r="194" spans="1:2" x14ac:dyDescent="0.25">
      <c r="A194" s="8">
        <v>44134</v>
      </c>
      <c r="B194">
        <v>773.87</v>
      </c>
    </row>
    <row r="195" spans="1:2" x14ac:dyDescent="0.25">
      <c r="A195" s="8">
        <v>44165</v>
      </c>
      <c r="B195">
        <v>767.35</v>
      </c>
    </row>
    <row r="196" spans="1:2" x14ac:dyDescent="0.25">
      <c r="A196" s="8">
        <v>44196</v>
      </c>
      <c r="B196">
        <v>711.78</v>
      </c>
    </row>
    <row r="197" spans="1:2" x14ac:dyDescent="0.25">
      <c r="A197" s="8">
        <v>44225</v>
      </c>
      <c r="B197">
        <v>732.5</v>
      </c>
    </row>
    <row r="198" spans="1:2" x14ac:dyDescent="0.25">
      <c r="A198" s="8">
        <v>44253</v>
      </c>
      <c r="B198">
        <v>725.38</v>
      </c>
    </row>
    <row r="199" spans="1:2" x14ac:dyDescent="0.25">
      <c r="A199" s="8">
        <v>44286</v>
      </c>
      <c r="B199">
        <v>719.04</v>
      </c>
    </row>
    <row r="200" spans="1:2" x14ac:dyDescent="0.25">
      <c r="A200" s="8">
        <v>44316</v>
      </c>
      <c r="B200">
        <v>710.35</v>
      </c>
    </row>
    <row r="201" spans="1:2" x14ac:dyDescent="0.25">
      <c r="A201" s="8">
        <v>44347</v>
      </c>
      <c r="B201">
        <v>722.18</v>
      </c>
    </row>
    <row r="202" spans="1:2" x14ac:dyDescent="0.25">
      <c r="A202" s="8">
        <v>44377</v>
      </c>
      <c r="B202">
        <v>734.38</v>
      </c>
    </row>
    <row r="203" spans="1:2" x14ac:dyDescent="0.25">
      <c r="A203" s="8">
        <v>44407</v>
      </c>
      <c r="B203">
        <v>759</v>
      </c>
    </row>
    <row r="204" spans="1:2" x14ac:dyDescent="0.25">
      <c r="A204" s="8">
        <v>44439</v>
      </c>
      <c r="B204">
        <v>774.15</v>
      </c>
    </row>
    <row r="205" spans="1:2" x14ac:dyDescent="0.25">
      <c r="A205" s="8">
        <v>44469</v>
      </c>
      <c r="B205">
        <v>810.06</v>
      </c>
    </row>
    <row r="206" spans="1:2" x14ac:dyDescent="0.25">
      <c r="A206" s="8">
        <v>44498</v>
      </c>
      <c r="B206">
        <v>814.5</v>
      </c>
    </row>
    <row r="207" spans="1:2" x14ac:dyDescent="0.25">
      <c r="A207" s="8">
        <v>44530</v>
      </c>
      <c r="B207">
        <v>829.25</v>
      </c>
    </row>
    <row r="208" spans="1:2" x14ac:dyDescent="0.25">
      <c r="A208" s="8">
        <v>44561</v>
      </c>
      <c r="B208">
        <v>852</v>
      </c>
    </row>
    <row r="209" spans="1:2" x14ac:dyDescent="0.25">
      <c r="A209" s="8">
        <v>44592</v>
      </c>
      <c r="B209">
        <v>800.62</v>
      </c>
    </row>
    <row r="210" spans="1:2" x14ac:dyDescent="0.25">
      <c r="A210" s="8">
        <v>44620</v>
      </c>
      <c r="B210">
        <v>798.58</v>
      </c>
    </row>
    <row r="211" spans="1:2" x14ac:dyDescent="0.25">
      <c r="A211" s="8">
        <v>44651</v>
      </c>
      <c r="B211">
        <v>786.05</v>
      </c>
    </row>
    <row r="212" spans="1:2" x14ac:dyDescent="0.25">
      <c r="A212" s="8">
        <v>44680</v>
      </c>
      <c r="B212">
        <v>851</v>
      </c>
    </row>
    <row r="213" spans="1:2" x14ac:dyDescent="0.25">
      <c r="A213" s="8">
        <v>44712</v>
      </c>
      <c r="B213">
        <v>823.88</v>
      </c>
    </row>
    <row r="214" spans="1:2" x14ac:dyDescent="0.25">
      <c r="A214" s="8">
        <v>44742</v>
      </c>
      <c r="B214">
        <v>918.08</v>
      </c>
    </row>
    <row r="215" spans="1:2" x14ac:dyDescent="0.25">
      <c r="A215" s="8">
        <v>44771</v>
      </c>
      <c r="B215">
        <v>900.24</v>
      </c>
    </row>
    <row r="216" spans="1:2" x14ac:dyDescent="0.25">
      <c r="A216" s="8">
        <v>44804</v>
      </c>
      <c r="B216">
        <v>896</v>
      </c>
    </row>
    <row r="217" spans="1:2" x14ac:dyDescent="0.25">
      <c r="A217" s="8">
        <v>44834</v>
      </c>
      <c r="B217">
        <v>968.69</v>
      </c>
    </row>
    <row r="218" spans="1:2" x14ac:dyDescent="0.25">
      <c r="A218" s="8">
        <v>44865</v>
      </c>
      <c r="B218">
        <v>943.4</v>
      </c>
    </row>
    <row r="219" spans="1:2" x14ac:dyDescent="0.25">
      <c r="A219" s="8">
        <v>44895</v>
      </c>
      <c r="B219">
        <v>894</v>
      </c>
    </row>
    <row r="220" spans="1:2" x14ac:dyDescent="0.25">
      <c r="A220" s="8">
        <v>44925</v>
      </c>
      <c r="B220">
        <v>851.13</v>
      </c>
    </row>
    <row r="221" spans="1:2" x14ac:dyDescent="0.25">
      <c r="A221" s="8">
        <v>44957</v>
      </c>
      <c r="B221">
        <v>797.5</v>
      </c>
    </row>
    <row r="222" spans="1:2" x14ac:dyDescent="0.25">
      <c r="A222" s="8">
        <v>44985</v>
      </c>
      <c r="B222">
        <v>827.05</v>
      </c>
    </row>
    <row r="223" spans="1:2" x14ac:dyDescent="0.25">
      <c r="A223" s="8">
        <v>45016</v>
      </c>
      <c r="B223">
        <v>795.47</v>
      </c>
    </row>
    <row r="224" spans="1:2" x14ac:dyDescent="0.25">
      <c r="A224" s="8">
        <v>45044</v>
      </c>
      <c r="B224">
        <v>807.25</v>
      </c>
    </row>
    <row r="225" spans="1:2" x14ac:dyDescent="0.25">
      <c r="A225" s="8">
        <v>45077</v>
      </c>
      <c r="B225">
        <v>809.53</v>
      </c>
    </row>
    <row r="226" spans="1:2" x14ac:dyDescent="0.25">
      <c r="A226" s="8">
        <v>45107</v>
      </c>
      <c r="B226">
        <v>802.25</v>
      </c>
    </row>
    <row r="227" spans="1:2" x14ac:dyDescent="0.25">
      <c r="A227" s="8">
        <v>45138</v>
      </c>
      <c r="B227">
        <v>838.75</v>
      </c>
    </row>
    <row r="228" spans="1:2" x14ac:dyDescent="0.25">
      <c r="A228" s="8">
        <v>45169</v>
      </c>
      <c r="B228">
        <v>852.29</v>
      </c>
    </row>
    <row r="229" spans="1:2" x14ac:dyDescent="0.25">
      <c r="A229" s="8">
        <v>45198</v>
      </c>
      <c r="B229">
        <v>891.53</v>
      </c>
    </row>
    <row r="230" spans="1:2" x14ac:dyDescent="0.25">
      <c r="A230" s="8">
        <v>45230</v>
      </c>
      <c r="B230">
        <v>897.38</v>
      </c>
    </row>
    <row r="231" spans="1:2" x14ac:dyDescent="0.25">
      <c r="A231" s="8">
        <v>45260</v>
      </c>
      <c r="B231">
        <v>869.72</v>
      </c>
    </row>
    <row r="232" spans="1:2" x14ac:dyDescent="0.25">
      <c r="A232" s="8">
        <v>45289</v>
      </c>
      <c r="B232">
        <v>879</v>
      </c>
    </row>
    <row r="233" spans="1:2" x14ac:dyDescent="0.25">
      <c r="A233" s="8">
        <v>45322</v>
      </c>
      <c r="B233">
        <v>929.08</v>
      </c>
    </row>
    <row r="234" spans="1:2" x14ac:dyDescent="0.25">
      <c r="A234" s="8">
        <v>45351</v>
      </c>
      <c r="B234">
        <v>966.5</v>
      </c>
    </row>
    <row r="235" spans="1:2" x14ac:dyDescent="0.25">
      <c r="A235" s="8">
        <v>45380</v>
      </c>
      <c r="B235">
        <v>979.36</v>
      </c>
    </row>
    <row r="236" spans="1:2" x14ac:dyDescent="0.25">
      <c r="A236" s="8">
        <v>45412</v>
      </c>
      <c r="B236">
        <v>960.33</v>
      </c>
    </row>
    <row r="237" spans="1:2" x14ac:dyDescent="0.25">
      <c r="A237" s="8">
        <v>45443</v>
      </c>
      <c r="B237">
        <v>918.25</v>
      </c>
    </row>
    <row r="238" spans="1:2" x14ac:dyDescent="0.25">
      <c r="A238" s="8">
        <v>45471</v>
      </c>
      <c r="B238">
        <v>940.23</v>
      </c>
    </row>
    <row r="239" spans="1:2" x14ac:dyDescent="0.25">
      <c r="A239" s="8">
        <v>45504</v>
      </c>
      <c r="B239">
        <v>941.65</v>
      </c>
    </row>
    <row r="240" spans="1:2" x14ac:dyDescent="0.25">
      <c r="A240" s="8">
        <v>45534</v>
      </c>
      <c r="B240">
        <v>910.68</v>
      </c>
    </row>
    <row r="241" spans="1:2" x14ac:dyDescent="0.25">
      <c r="A241" s="8">
        <v>45565</v>
      </c>
      <c r="B241">
        <v>898.7</v>
      </c>
    </row>
    <row r="242" spans="1:2" x14ac:dyDescent="0.25">
      <c r="A242" s="8">
        <v>45596</v>
      </c>
      <c r="B242">
        <v>962.33</v>
      </c>
    </row>
    <row r="243" spans="1:2" x14ac:dyDescent="0.25">
      <c r="A243" s="8">
        <v>45625</v>
      </c>
      <c r="B243">
        <v>973.68</v>
      </c>
    </row>
    <row r="244" spans="1:2" x14ac:dyDescent="0.25">
      <c r="A244" s="8">
        <v>45657</v>
      </c>
      <c r="B244">
        <v>994.92</v>
      </c>
    </row>
    <row r="245" spans="1:2" x14ac:dyDescent="0.25">
      <c r="A245" s="8">
        <v>45688</v>
      </c>
      <c r="B245">
        <v>980.25</v>
      </c>
    </row>
    <row r="246" spans="1:2" x14ac:dyDescent="0.25">
      <c r="A246" s="8">
        <v>45716</v>
      </c>
      <c r="B246">
        <v>963.3</v>
      </c>
    </row>
    <row r="247" spans="1:2" x14ac:dyDescent="0.25">
      <c r="A247" s="8">
        <v>45747</v>
      </c>
      <c r="B247">
        <v>951.08</v>
      </c>
    </row>
    <row r="248" spans="1:2" x14ac:dyDescent="0.25">
      <c r="A248" s="8">
        <v>45777</v>
      </c>
      <c r="B248">
        <v>948.4</v>
      </c>
    </row>
    <row r="249" spans="1:2" x14ac:dyDescent="0.25">
      <c r="A249" s="8">
        <v>45807</v>
      </c>
      <c r="B249">
        <v>945.68</v>
      </c>
    </row>
    <row r="250" spans="1:2" x14ac:dyDescent="0.25">
      <c r="A250" s="8">
        <v>45838</v>
      </c>
      <c r="B250">
        <v>931.62</v>
      </c>
    </row>
    <row r="251" spans="1:2" x14ac:dyDescent="0.25">
      <c r="A251" s="8">
        <v>45869</v>
      </c>
      <c r="B251">
        <v>972.61</v>
      </c>
    </row>
    <row r="252" spans="1:2" x14ac:dyDescent="0.25">
      <c r="A252" s="8">
        <v>45898</v>
      </c>
      <c r="B252">
        <v>966.88</v>
      </c>
    </row>
    <row r="253" spans="1:2" x14ac:dyDescent="0.25">
      <c r="A253" s="8">
        <v>45930</v>
      </c>
      <c r="B253">
        <v>962.5</v>
      </c>
    </row>
    <row r="254" spans="1:2" x14ac:dyDescent="0.25">
      <c r="A254" s="8">
        <v>45961</v>
      </c>
      <c r="B254">
        <v>942.38</v>
      </c>
    </row>
    <row r="255" spans="1:2" x14ac:dyDescent="0.25">
      <c r="A255" s="8">
        <v>45989</v>
      </c>
      <c r="B255">
        <v>927.9</v>
      </c>
    </row>
    <row r="256" spans="1:2" x14ac:dyDescent="0.25">
      <c r="A256" s="8">
        <v>46022</v>
      </c>
      <c r="B256">
        <v>900.58</v>
      </c>
    </row>
    <row r="257" spans="1:4" x14ac:dyDescent="0.25">
      <c r="A257" s="8">
        <v>46052</v>
      </c>
      <c r="B257">
        <v>873.7</v>
      </c>
    </row>
    <row r="271" spans="1:4" x14ac:dyDescent="0.25">
      <c r="A271" s="6" t="s">
        <v>392</v>
      </c>
      <c r="B271" s="6" t="s">
        <v>393</v>
      </c>
      <c r="C271" s="6" t="s">
        <v>394</v>
      </c>
      <c r="D271" s="6" t="s">
        <v>54</v>
      </c>
    </row>
    <row r="272" spans="1:4" x14ac:dyDescent="0.25">
      <c r="A272" t="str">
        <f ca="1">_xll.BDH("GICL10YR Index","PX_LAST","02/01/2016",TODAY(),"Per=M")</f>
        <v>#N/A Invalid Security</v>
      </c>
    </row>
    <row r="406" spans="1:4" x14ac:dyDescent="0.25">
      <c r="A406" s="6" t="s">
        <v>395</v>
      </c>
      <c r="B406" s="6" t="s">
        <v>396</v>
      </c>
      <c r="C406" s="6" t="s">
        <v>397</v>
      </c>
      <c r="D406" s="6" t="s">
        <v>54</v>
      </c>
    </row>
    <row r="407" spans="1:4" x14ac:dyDescent="0.25">
      <c r="A407" t="str">
        <f ca="1">_xll.BDH("CLCPIYOY Index","PX_LAST","02/01/2016",TODAY(),"Per=M")</f>
        <v>#N/A Invalid Security</v>
      </c>
    </row>
    <row r="541" spans="1:4" x14ac:dyDescent="0.25">
      <c r="A541" s="6" t="s">
        <v>398</v>
      </c>
      <c r="B541" s="6" t="s">
        <v>399</v>
      </c>
      <c r="C541" s="6" t="s">
        <v>400</v>
      </c>
      <c r="D541" s="6" t="s">
        <v>54</v>
      </c>
    </row>
    <row r="542" spans="1:4" x14ac:dyDescent="0.25">
      <c r="A542" t="str">
        <f ca="1">_xll.BDH("CHBCRF Index","PX_LAST","02/01/2016",TODAY(),"Per=M")</f>
        <v>#N/A Invalid Security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9999"/>
  </sheetPr>
  <dimension ref="A1:G1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21" customWidth="1"/>
    <col min="3" max="3" width="22" customWidth="1"/>
    <col min="4" max="4" width="15" customWidth="1"/>
    <col min="5" max="5" width="28" customWidth="1"/>
    <col min="6" max="7" width="12" customWidth="1"/>
  </cols>
  <sheetData>
    <row r="1" spans="1:7" ht="16.5" x14ac:dyDescent="0.3">
      <c r="A1" s="1" t="s">
        <v>401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</row>
    <row r="2" spans="1:7" x14ac:dyDescent="0.25">
      <c r="A2" s="2" t="s">
        <v>408</v>
      </c>
      <c r="B2" s="2" t="s">
        <v>51</v>
      </c>
      <c r="C2" s="2" t="s">
        <v>53</v>
      </c>
      <c r="D2" s="2" t="s">
        <v>54</v>
      </c>
      <c r="E2" s="2" t="s">
        <v>409</v>
      </c>
      <c r="F2" s="2" t="s">
        <v>410</v>
      </c>
      <c r="G2" s="7" t="s">
        <v>411</v>
      </c>
    </row>
    <row r="3" spans="1:7" x14ac:dyDescent="0.25">
      <c r="A3" s="2" t="s">
        <v>408</v>
      </c>
      <c r="B3" s="2" t="s">
        <v>55</v>
      </c>
      <c r="C3" s="2" t="s">
        <v>57</v>
      </c>
      <c r="D3" s="2" t="s">
        <v>54</v>
      </c>
      <c r="E3" s="2" t="s">
        <v>412</v>
      </c>
      <c r="F3" s="2" t="s">
        <v>410</v>
      </c>
      <c r="G3" s="7" t="s">
        <v>413</v>
      </c>
    </row>
    <row r="4" spans="1:7" x14ac:dyDescent="0.25">
      <c r="A4" s="2" t="s">
        <v>408</v>
      </c>
      <c r="B4" s="2" t="s">
        <v>58</v>
      </c>
      <c r="C4" s="2" t="s">
        <v>60</v>
      </c>
      <c r="D4" s="2" t="s">
        <v>54</v>
      </c>
      <c r="E4" s="2" t="s">
        <v>414</v>
      </c>
      <c r="F4" s="2" t="s">
        <v>410</v>
      </c>
      <c r="G4" s="7" t="s">
        <v>415</v>
      </c>
    </row>
    <row r="5" spans="1:7" x14ac:dyDescent="0.25">
      <c r="A5" s="2" t="s">
        <v>408</v>
      </c>
      <c r="B5" s="2" t="s">
        <v>61</v>
      </c>
      <c r="C5" s="2" t="s">
        <v>63</v>
      </c>
      <c r="D5" s="2" t="s">
        <v>54</v>
      </c>
      <c r="E5" s="2" t="s">
        <v>416</v>
      </c>
      <c r="F5" s="2" t="s">
        <v>410</v>
      </c>
      <c r="G5" s="7" t="s">
        <v>417</v>
      </c>
    </row>
    <row r="6" spans="1:7" x14ac:dyDescent="0.25">
      <c r="A6" s="2" t="s">
        <v>408</v>
      </c>
      <c r="B6" s="2" t="s">
        <v>64</v>
      </c>
      <c r="C6" s="2" t="s">
        <v>66</v>
      </c>
      <c r="D6" s="2" t="s">
        <v>54</v>
      </c>
      <c r="E6" s="2" t="s">
        <v>418</v>
      </c>
      <c r="F6" s="2" t="s">
        <v>410</v>
      </c>
      <c r="G6" s="7" t="s">
        <v>419</v>
      </c>
    </row>
    <row r="7" spans="1:7" x14ac:dyDescent="0.25">
      <c r="A7" s="2" t="s">
        <v>408</v>
      </c>
      <c r="B7" s="2" t="s">
        <v>67</v>
      </c>
      <c r="C7" s="2" t="s">
        <v>69</v>
      </c>
      <c r="D7" s="2" t="s">
        <v>54</v>
      </c>
      <c r="E7" s="2" t="s">
        <v>420</v>
      </c>
      <c r="F7" s="2" t="s">
        <v>410</v>
      </c>
      <c r="G7" s="7" t="s">
        <v>421</v>
      </c>
    </row>
    <row r="8" spans="1:7" x14ac:dyDescent="0.25">
      <c r="A8" s="2" t="s">
        <v>408</v>
      </c>
      <c r="B8" s="2" t="s">
        <v>70</v>
      </c>
      <c r="C8" s="2" t="s">
        <v>72</v>
      </c>
      <c r="D8" s="2" t="s">
        <v>54</v>
      </c>
      <c r="E8" s="2" t="s">
        <v>422</v>
      </c>
      <c r="F8" s="2" t="s">
        <v>410</v>
      </c>
      <c r="G8" s="7" t="s">
        <v>423</v>
      </c>
    </row>
    <row r="9" spans="1:7" x14ac:dyDescent="0.25">
      <c r="A9" s="2" t="s">
        <v>408</v>
      </c>
      <c r="B9" s="2" t="s">
        <v>73</v>
      </c>
      <c r="C9" s="2" t="s">
        <v>75</v>
      </c>
      <c r="D9" s="2" t="s">
        <v>54</v>
      </c>
      <c r="E9" s="2" t="s">
        <v>424</v>
      </c>
      <c r="F9" s="2" t="s">
        <v>410</v>
      </c>
      <c r="G9" s="7" t="s">
        <v>425</v>
      </c>
    </row>
    <row r="10" spans="1:7" x14ac:dyDescent="0.25">
      <c r="A10" s="2" t="s">
        <v>408</v>
      </c>
      <c r="B10" s="2" t="s">
        <v>76</v>
      </c>
      <c r="C10" s="2" t="s">
        <v>78</v>
      </c>
      <c r="D10" s="2" t="s">
        <v>54</v>
      </c>
      <c r="E10" s="2" t="s">
        <v>426</v>
      </c>
      <c r="F10" s="2" t="s">
        <v>410</v>
      </c>
      <c r="G10" s="7" t="s">
        <v>427</v>
      </c>
    </row>
    <row r="11" spans="1:7" x14ac:dyDescent="0.25">
      <c r="A11" s="2" t="s">
        <v>408</v>
      </c>
      <c r="B11" s="2" t="s">
        <v>79</v>
      </c>
      <c r="C11" s="2" t="s">
        <v>81</v>
      </c>
      <c r="D11" s="2" t="s">
        <v>54</v>
      </c>
      <c r="E11" s="2" t="s">
        <v>428</v>
      </c>
      <c r="F11" s="2" t="s">
        <v>410</v>
      </c>
      <c r="G11" s="7" t="s">
        <v>429</v>
      </c>
    </row>
    <row r="12" spans="1:7" x14ac:dyDescent="0.25">
      <c r="A12" s="2" t="s">
        <v>408</v>
      </c>
      <c r="B12" s="2" t="s">
        <v>82</v>
      </c>
      <c r="C12" s="2" t="s">
        <v>84</v>
      </c>
      <c r="D12" s="2" t="s">
        <v>54</v>
      </c>
      <c r="E12" s="2" t="s">
        <v>430</v>
      </c>
      <c r="F12" s="2" t="s">
        <v>410</v>
      </c>
      <c r="G12" s="7" t="s">
        <v>431</v>
      </c>
    </row>
    <row r="13" spans="1:7" x14ac:dyDescent="0.25">
      <c r="A13" s="2" t="s">
        <v>432</v>
      </c>
      <c r="B13" s="2" t="s">
        <v>85</v>
      </c>
      <c r="C13" s="2" t="s">
        <v>87</v>
      </c>
      <c r="D13" s="2" t="s">
        <v>54</v>
      </c>
      <c r="E13" s="2" t="s">
        <v>433</v>
      </c>
      <c r="F13" s="2" t="s">
        <v>434</v>
      </c>
      <c r="G13" s="7" t="s">
        <v>411</v>
      </c>
    </row>
    <row r="14" spans="1:7" x14ac:dyDescent="0.25">
      <c r="A14" s="2" t="s">
        <v>432</v>
      </c>
      <c r="B14" s="2" t="s">
        <v>88</v>
      </c>
      <c r="C14" s="2" t="s">
        <v>90</v>
      </c>
      <c r="D14" s="2" t="s">
        <v>54</v>
      </c>
      <c r="E14" s="2" t="s">
        <v>435</v>
      </c>
      <c r="F14" s="2" t="s">
        <v>434</v>
      </c>
      <c r="G14" s="7" t="s">
        <v>413</v>
      </c>
    </row>
    <row r="15" spans="1:7" x14ac:dyDescent="0.25">
      <c r="A15" s="2" t="s">
        <v>432</v>
      </c>
      <c r="B15" s="2" t="s">
        <v>91</v>
      </c>
      <c r="C15" s="2" t="s">
        <v>93</v>
      </c>
      <c r="D15" s="2" t="s">
        <v>54</v>
      </c>
      <c r="E15" s="2" t="s">
        <v>436</v>
      </c>
      <c r="F15" s="2" t="s">
        <v>437</v>
      </c>
      <c r="G15" s="7" t="s">
        <v>415</v>
      </c>
    </row>
    <row r="16" spans="1:7" x14ac:dyDescent="0.25">
      <c r="A16" s="2" t="s">
        <v>432</v>
      </c>
      <c r="B16" s="2" t="s">
        <v>94</v>
      </c>
      <c r="C16" s="2" t="s">
        <v>96</v>
      </c>
      <c r="D16" s="2" t="s">
        <v>54</v>
      </c>
      <c r="E16" s="2" t="s">
        <v>438</v>
      </c>
      <c r="F16" s="2" t="s">
        <v>434</v>
      </c>
      <c r="G16" s="7" t="s">
        <v>417</v>
      </c>
    </row>
    <row r="17" spans="1:7" x14ac:dyDescent="0.25">
      <c r="A17" s="2" t="s">
        <v>432</v>
      </c>
      <c r="B17" s="2" t="s">
        <v>97</v>
      </c>
      <c r="C17" s="2" t="s">
        <v>99</v>
      </c>
      <c r="D17" s="2" t="s">
        <v>54</v>
      </c>
      <c r="E17" s="2" t="s">
        <v>439</v>
      </c>
      <c r="F17" s="2" t="s">
        <v>434</v>
      </c>
      <c r="G17" s="7" t="s">
        <v>419</v>
      </c>
    </row>
    <row r="18" spans="1:7" x14ac:dyDescent="0.25">
      <c r="A18" s="2" t="s">
        <v>432</v>
      </c>
      <c r="B18" s="2" t="s">
        <v>100</v>
      </c>
      <c r="C18" s="2" t="s">
        <v>102</v>
      </c>
      <c r="D18" s="2" t="s">
        <v>54</v>
      </c>
      <c r="E18" s="2" t="s">
        <v>440</v>
      </c>
      <c r="F18" s="2" t="s">
        <v>434</v>
      </c>
      <c r="G18" s="7" t="s">
        <v>421</v>
      </c>
    </row>
    <row r="19" spans="1:7" x14ac:dyDescent="0.25">
      <c r="A19" s="2" t="s">
        <v>432</v>
      </c>
      <c r="B19" s="2" t="s">
        <v>103</v>
      </c>
      <c r="C19" s="2" t="s">
        <v>105</v>
      </c>
      <c r="D19" s="2" t="s">
        <v>54</v>
      </c>
      <c r="E19" s="2" t="s">
        <v>441</v>
      </c>
      <c r="F19" s="2" t="s">
        <v>434</v>
      </c>
      <c r="G19" s="7" t="s">
        <v>423</v>
      </c>
    </row>
    <row r="20" spans="1:7" x14ac:dyDescent="0.25">
      <c r="A20" s="2" t="s">
        <v>432</v>
      </c>
      <c r="B20" s="2" t="s">
        <v>106</v>
      </c>
      <c r="C20" s="2" t="s">
        <v>108</v>
      </c>
      <c r="D20" s="2" t="s">
        <v>54</v>
      </c>
      <c r="E20" s="2" t="s">
        <v>442</v>
      </c>
      <c r="F20" s="2" t="s">
        <v>443</v>
      </c>
      <c r="G20" s="7" t="s">
        <v>425</v>
      </c>
    </row>
    <row r="21" spans="1:7" x14ac:dyDescent="0.25">
      <c r="A21" s="2" t="s">
        <v>432</v>
      </c>
      <c r="B21" s="2" t="s">
        <v>109</v>
      </c>
      <c r="C21" s="2" t="s">
        <v>111</v>
      </c>
      <c r="D21" s="2" t="s">
        <v>54</v>
      </c>
      <c r="E21" s="2" t="s">
        <v>444</v>
      </c>
      <c r="F21" s="2" t="s">
        <v>445</v>
      </c>
      <c r="G21" s="7" t="s">
        <v>427</v>
      </c>
    </row>
    <row r="22" spans="1:7" x14ac:dyDescent="0.25">
      <c r="A22" s="2" t="s">
        <v>432</v>
      </c>
      <c r="B22" s="2" t="s">
        <v>112</v>
      </c>
      <c r="C22" s="2" t="s">
        <v>114</v>
      </c>
      <c r="D22" s="2" t="s">
        <v>54</v>
      </c>
      <c r="E22" s="2" t="s">
        <v>446</v>
      </c>
      <c r="F22" s="2" t="s">
        <v>447</v>
      </c>
      <c r="G22" s="7" t="s">
        <v>429</v>
      </c>
    </row>
    <row r="23" spans="1:7" x14ac:dyDescent="0.25">
      <c r="A23" s="2" t="s">
        <v>432</v>
      </c>
      <c r="B23" s="2" t="s">
        <v>115</v>
      </c>
      <c r="C23" s="2" t="s">
        <v>117</v>
      </c>
      <c r="D23" s="2" t="s">
        <v>54</v>
      </c>
      <c r="E23" s="2" t="s">
        <v>448</v>
      </c>
      <c r="F23" s="2" t="s">
        <v>410</v>
      </c>
      <c r="G23" s="7" t="s">
        <v>431</v>
      </c>
    </row>
    <row r="24" spans="1:7" x14ac:dyDescent="0.25">
      <c r="A24" s="2" t="s">
        <v>449</v>
      </c>
      <c r="B24" s="2" t="s">
        <v>118</v>
      </c>
      <c r="C24" s="2" t="s">
        <v>120</v>
      </c>
      <c r="D24" s="2" t="s">
        <v>54</v>
      </c>
      <c r="E24" s="2" t="s">
        <v>450</v>
      </c>
      <c r="F24" s="2" t="s">
        <v>451</v>
      </c>
      <c r="G24" s="7" t="s">
        <v>411</v>
      </c>
    </row>
    <row r="25" spans="1:7" x14ac:dyDescent="0.25">
      <c r="A25" s="2" t="s">
        <v>449</v>
      </c>
      <c r="B25" s="2" t="s">
        <v>121</v>
      </c>
      <c r="C25" s="2" t="s">
        <v>123</v>
      </c>
      <c r="D25" s="2" t="s">
        <v>54</v>
      </c>
      <c r="E25" s="2" t="s">
        <v>452</v>
      </c>
      <c r="F25" s="2" t="s">
        <v>451</v>
      </c>
      <c r="G25" s="7" t="s">
        <v>413</v>
      </c>
    </row>
    <row r="26" spans="1:7" x14ac:dyDescent="0.25">
      <c r="A26" s="2" t="s">
        <v>449</v>
      </c>
      <c r="B26" s="2" t="s">
        <v>124</v>
      </c>
      <c r="C26" s="2" t="s">
        <v>126</v>
      </c>
      <c r="D26" s="2" t="s">
        <v>54</v>
      </c>
      <c r="E26" s="2" t="s">
        <v>453</v>
      </c>
      <c r="F26" s="2" t="s">
        <v>451</v>
      </c>
      <c r="G26" s="7" t="s">
        <v>415</v>
      </c>
    </row>
    <row r="27" spans="1:7" x14ac:dyDescent="0.25">
      <c r="A27" s="2" t="s">
        <v>449</v>
      </c>
      <c r="B27" s="2" t="s">
        <v>127</v>
      </c>
      <c r="C27" s="2" t="s">
        <v>129</v>
      </c>
      <c r="D27" s="2" t="s">
        <v>54</v>
      </c>
      <c r="E27" s="2" t="s">
        <v>454</v>
      </c>
      <c r="F27" s="2" t="s">
        <v>451</v>
      </c>
      <c r="G27" s="7" t="s">
        <v>417</v>
      </c>
    </row>
    <row r="28" spans="1:7" x14ac:dyDescent="0.25">
      <c r="A28" s="2" t="s">
        <v>449</v>
      </c>
      <c r="B28" s="2" t="s">
        <v>130</v>
      </c>
      <c r="C28" s="2" t="s">
        <v>132</v>
      </c>
      <c r="D28" s="2" t="s">
        <v>54</v>
      </c>
      <c r="E28" s="2" t="s">
        <v>455</v>
      </c>
      <c r="F28" s="2" t="s">
        <v>451</v>
      </c>
      <c r="G28" s="7" t="s">
        <v>419</v>
      </c>
    </row>
    <row r="29" spans="1:7" x14ac:dyDescent="0.25">
      <c r="A29" s="2" t="s">
        <v>449</v>
      </c>
      <c r="B29" s="2" t="s">
        <v>133</v>
      </c>
      <c r="C29" s="2" t="s">
        <v>135</v>
      </c>
      <c r="D29" s="2" t="s">
        <v>54</v>
      </c>
      <c r="E29" s="2" t="s">
        <v>456</v>
      </c>
      <c r="F29" s="2" t="s">
        <v>451</v>
      </c>
      <c r="G29" s="7" t="s">
        <v>421</v>
      </c>
    </row>
    <row r="30" spans="1:7" x14ac:dyDescent="0.25">
      <c r="A30" s="2" t="s">
        <v>449</v>
      </c>
      <c r="B30" s="2" t="s">
        <v>136</v>
      </c>
      <c r="C30" s="2" t="s">
        <v>138</v>
      </c>
      <c r="D30" s="2" t="s">
        <v>54</v>
      </c>
      <c r="E30" s="2" t="s">
        <v>457</v>
      </c>
      <c r="F30" s="2" t="s">
        <v>451</v>
      </c>
      <c r="G30" s="7" t="s">
        <v>423</v>
      </c>
    </row>
    <row r="31" spans="1:7" x14ac:dyDescent="0.25">
      <c r="A31" s="2" t="s">
        <v>449</v>
      </c>
      <c r="B31" s="2" t="s">
        <v>139</v>
      </c>
      <c r="C31" s="2" t="s">
        <v>141</v>
      </c>
      <c r="D31" s="2" t="s">
        <v>54</v>
      </c>
      <c r="E31" s="2" t="s">
        <v>458</v>
      </c>
      <c r="F31" s="2" t="s">
        <v>451</v>
      </c>
      <c r="G31" s="7" t="s">
        <v>425</v>
      </c>
    </row>
    <row r="32" spans="1:7" x14ac:dyDescent="0.25">
      <c r="A32" s="2" t="s">
        <v>449</v>
      </c>
      <c r="B32" s="2" t="s">
        <v>142</v>
      </c>
      <c r="C32" s="2" t="s">
        <v>144</v>
      </c>
      <c r="D32" s="2" t="s">
        <v>54</v>
      </c>
      <c r="E32" s="2" t="s">
        <v>459</v>
      </c>
      <c r="F32" s="2" t="s">
        <v>451</v>
      </c>
      <c r="G32" s="7" t="s">
        <v>427</v>
      </c>
    </row>
    <row r="33" spans="1:7" x14ac:dyDescent="0.25">
      <c r="A33" s="2" t="s">
        <v>449</v>
      </c>
      <c r="B33" s="2" t="s">
        <v>145</v>
      </c>
      <c r="C33" s="2" t="s">
        <v>147</v>
      </c>
      <c r="D33" s="2" t="s">
        <v>54</v>
      </c>
      <c r="E33" s="2" t="s">
        <v>460</v>
      </c>
      <c r="F33" s="2" t="s">
        <v>451</v>
      </c>
      <c r="G33" s="7" t="s">
        <v>429</v>
      </c>
    </row>
    <row r="34" spans="1:7" x14ac:dyDescent="0.25">
      <c r="A34" s="2" t="s">
        <v>449</v>
      </c>
      <c r="B34" s="2" t="s">
        <v>148</v>
      </c>
      <c r="C34" s="2" t="s">
        <v>150</v>
      </c>
      <c r="D34" s="2" t="s">
        <v>54</v>
      </c>
      <c r="E34" s="2" t="s">
        <v>461</v>
      </c>
      <c r="F34" s="2" t="s">
        <v>451</v>
      </c>
      <c r="G34" s="7" t="s">
        <v>431</v>
      </c>
    </row>
    <row r="35" spans="1:7" x14ac:dyDescent="0.25">
      <c r="A35" s="2" t="s">
        <v>449</v>
      </c>
      <c r="B35" s="2" t="s">
        <v>151</v>
      </c>
      <c r="C35" s="2" t="s">
        <v>153</v>
      </c>
      <c r="D35" s="2" t="s">
        <v>54</v>
      </c>
      <c r="E35" s="2" t="s">
        <v>462</v>
      </c>
      <c r="F35" s="2" t="s">
        <v>451</v>
      </c>
      <c r="G35" s="7" t="s">
        <v>463</v>
      </c>
    </row>
    <row r="36" spans="1:7" x14ac:dyDescent="0.25">
      <c r="A36" s="2" t="s">
        <v>449</v>
      </c>
      <c r="B36" s="2" t="s">
        <v>154</v>
      </c>
      <c r="C36" s="2" t="s">
        <v>156</v>
      </c>
      <c r="D36" s="2" t="s">
        <v>54</v>
      </c>
      <c r="E36" s="2" t="s">
        <v>464</v>
      </c>
      <c r="F36" s="2" t="s">
        <v>451</v>
      </c>
      <c r="G36" s="7" t="s">
        <v>465</v>
      </c>
    </row>
    <row r="37" spans="1:7" x14ac:dyDescent="0.25">
      <c r="A37" s="2" t="s">
        <v>449</v>
      </c>
      <c r="B37" s="2" t="s">
        <v>157</v>
      </c>
      <c r="C37" s="2" t="s">
        <v>159</v>
      </c>
      <c r="D37" s="2" t="s">
        <v>54</v>
      </c>
      <c r="E37" s="2" t="s">
        <v>466</v>
      </c>
      <c r="F37" s="2" t="s">
        <v>451</v>
      </c>
      <c r="G37" s="7" t="s">
        <v>467</v>
      </c>
    </row>
    <row r="38" spans="1:7" x14ac:dyDescent="0.25">
      <c r="A38" s="2" t="s">
        <v>468</v>
      </c>
      <c r="B38" s="2" t="s">
        <v>160</v>
      </c>
      <c r="C38" s="2" t="s">
        <v>162</v>
      </c>
      <c r="D38" s="2" t="s">
        <v>54</v>
      </c>
      <c r="E38" s="2" t="s">
        <v>469</v>
      </c>
      <c r="F38" s="2" t="s">
        <v>451</v>
      </c>
      <c r="G38" s="7" t="s">
        <v>411</v>
      </c>
    </row>
    <row r="39" spans="1:7" x14ac:dyDescent="0.25">
      <c r="A39" s="2" t="s">
        <v>468</v>
      </c>
      <c r="B39" s="2" t="s">
        <v>163</v>
      </c>
      <c r="C39" s="2" t="s">
        <v>165</v>
      </c>
      <c r="D39" s="2" t="s">
        <v>54</v>
      </c>
      <c r="E39" s="2" t="s">
        <v>470</v>
      </c>
      <c r="F39" s="2" t="s">
        <v>451</v>
      </c>
      <c r="G39" s="7" t="s">
        <v>413</v>
      </c>
    </row>
    <row r="40" spans="1:7" x14ac:dyDescent="0.25">
      <c r="A40" s="2" t="s">
        <v>468</v>
      </c>
      <c r="B40" s="2" t="s">
        <v>166</v>
      </c>
      <c r="C40" s="2" t="s">
        <v>168</v>
      </c>
      <c r="D40" s="2" t="s">
        <v>54</v>
      </c>
      <c r="E40" s="2" t="s">
        <v>471</v>
      </c>
      <c r="F40" s="2" t="s">
        <v>451</v>
      </c>
      <c r="G40" s="7" t="s">
        <v>415</v>
      </c>
    </row>
    <row r="41" spans="1:7" x14ac:dyDescent="0.25">
      <c r="A41" s="2" t="s">
        <v>468</v>
      </c>
      <c r="B41" s="2" t="s">
        <v>169</v>
      </c>
      <c r="C41" s="2" t="s">
        <v>171</v>
      </c>
      <c r="D41" s="2" t="s">
        <v>54</v>
      </c>
      <c r="E41" s="2" t="s">
        <v>472</v>
      </c>
      <c r="F41" s="2" t="s">
        <v>451</v>
      </c>
      <c r="G41" s="7" t="s">
        <v>417</v>
      </c>
    </row>
    <row r="42" spans="1:7" x14ac:dyDescent="0.25">
      <c r="A42" s="2" t="s">
        <v>468</v>
      </c>
      <c r="B42" s="2" t="s">
        <v>172</v>
      </c>
      <c r="C42" s="2" t="s">
        <v>174</v>
      </c>
      <c r="D42" s="2" t="s">
        <v>54</v>
      </c>
      <c r="E42" s="2" t="s">
        <v>473</v>
      </c>
      <c r="F42" s="2" t="s">
        <v>451</v>
      </c>
      <c r="G42" s="7" t="s">
        <v>419</v>
      </c>
    </row>
    <row r="43" spans="1:7" x14ac:dyDescent="0.25">
      <c r="A43" s="2" t="s">
        <v>468</v>
      </c>
      <c r="B43" s="2" t="s">
        <v>175</v>
      </c>
      <c r="C43" s="2" t="s">
        <v>177</v>
      </c>
      <c r="D43" s="2" t="s">
        <v>54</v>
      </c>
      <c r="E43" s="2" t="s">
        <v>474</v>
      </c>
      <c r="F43" s="2" t="s">
        <v>451</v>
      </c>
      <c r="G43" s="7" t="s">
        <v>421</v>
      </c>
    </row>
    <row r="44" spans="1:7" x14ac:dyDescent="0.25">
      <c r="A44" s="2" t="s">
        <v>468</v>
      </c>
      <c r="B44" s="2" t="s">
        <v>178</v>
      </c>
      <c r="C44" s="2" t="s">
        <v>180</v>
      </c>
      <c r="D44" s="2" t="s">
        <v>54</v>
      </c>
      <c r="E44" s="2" t="s">
        <v>475</v>
      </c>
      <c r="F44" s="2" t="s">
        <v>451</v>
      </c>
      <c r="G44" s="7" t="s">
        <v>423</v>
      </c>
    </row>
    <row r="45" spans="1:7" x14ac:dyDescent="0.25">
      <c r="A45" s="2" t="s">
        <v>468</v>
      </c>
      <c r="B45" s="2" t="s">
        <v>181</v>
      </c>
      <c r="C45" s="2" t="s">
        <v>183</v>
      </c>
      <c r="D45" s="2" t="s">
        <v>54</v>
      </c>
      <c r="E45" s="2" t="s">
        <v>476</v>
      </c>
      <c r="F45" s="2" t="s">
        <v>451</v>
      </c>
      <c r="G45" s="7" t="s">
        <v>425</v>
      </c>
    </row>
    <row r="46" spans="1:7" x14ac:dyDescent="0.25">
      <c r="A46" s="2" t="s">
        <v>468</v>
      </c>
      <c r="B46" s="2" t="s">
        <v>184</v>
      </c>
      <c r="C46" s="2" t="s">
        <v>186</v>
      </c>
      <c r="D46" s="2" t="s">
        <v>54</v>
      </c>
      <c r="E46" s="2" t="s">
        <v>477</v>
      </c>
      <c r="F46" s="2" t="s">
        <v>451</v>
      </c>
      <c r="G46" s="7" t="s">
        <v>427</v>
      </c>
    </row>
    <row r="47" spans="1:7" x14ac:dyDescent="0.25">
      <c r="A47" s="2" t="s">
        <v>468</v>
      </c>
      <c r="B47" s="2" t="s">
        <v>187</v>
      </c>
      <c r="C47" s="2" t="s">
        <v>189</v>
      </c>
      <c r="D47" s="2" t="s">
        <v>54</v>
      </c>
      <c r="E47" s="2" t="s">
        <v>478</v>
      </c>
      <c r="F47" s="2" t="s">
        <v>451</v>
      </c>
      <c r="G47" s="7" t="s">
        <v>429</v>
      </c>
    </row>
    <row r="48" spans="1:7" x14ac:dyDescent="0.25">
      <c r="A48" s="2" t="s">
        <v>468</v>
      </c>
      <c r="B48" s="2" t="s">
        <v>190</v>
      </c>
      <c r="C48" s="2" t="s">
        <v>192</v>
      </c>
      <c r="D48" s="2" t="s">
        <v>54</v>
      </c>
      <c r="E48" s="2" t="s">
        <v>479</v>
      </c>
      <c r="F48" s="2" t="s">
        <v>451</v>
      </c>
      <c r="G48" s="7" t="s">
        <v>431</v>
      </c>
    </row>
    <row r="49" spans="1:7" x14ac:dyDescent="0.25">
      <c r="A49" s="2" t="s">
        <v>468</v>
      </c>
      <c r="B49" s="2" t="s">
        <v>193</v>
      </c>
      <c r="C49" s="2" t="s">
        <v>195</v>
      </c>
      <c r="D49" s="2" t="s">
        <v>54</v>
      </c>
      <c r="E49" s="2" t="s">
        <v>480</v>
      </c>
      <c r="F49" s="2" t="s">
        <v>451</v>
      </c>
      <c r="G49" s="7" t="s">
        <v>463</v>
      </c>
    </row>
    <row r="50" spans="1:7" x14ac:dyDescent="0.25">
      <c r="A50" s="2" t="s">
        <v>468</v>
      </c>
      <c r="B50" s="2" t="s">
        <v>196</v>
      </c>
      <c r="C50" s="2" t="s">
        <v>198</v>
      </c>
      <c r="D50" s="2" t="s">
        <v>54</v>
      </c>
      <c r="E50" s="2" t="s">
        <v>481</v>
      </c>
      <c r="F50" s="2" t="s">
        <v>451</v>
      </c>
      <c r="G50" s="7" t="s">
        <v>465</v>
      </c>
    </row>
    <row r="51" spans="1:7" x14ac:dyDescent="0.25">
      <c r="A51" s="2" t="s">
        <v>482</v>
      </c>
      <c r="B51" s="2" t="s">
        <v>199</v>
      </c>
      <c r="C51" s="2" t="s">
        <v>201</v>
      </c>
      <c r="D51" s="2" t="s">
        <v>54</v>
      </c>
      <c r="E51" s="2" t="s">
        <v>483</v>
      </c>
      <c r="F51" s="2" t="s">
        <v>451</v>
      </c>
      <c r="G51" s="7" t="s">
        <v>411</v>
      </c>
    </row>
    <row r="52" spans="1:7" x14ac:dyDescent="0.25">
      <c r="A52" s="2" t="s">
        <v>482</v>
      </c>
      <c r="B52" s="2" t="s">
        <v>202</v>
      </c>
      <c r="C52" s="2" t="s">
        <v>204</v>
      </c>
      <c r="D52" s="2" t="s">
        <v>54</v>
      </c>
      <c r="E52" s="2" t="s">
        <v>484</v>
      </c>
      <c r="F52" s="2" t="s">
        <v>451</v>
      </c>
      <c r="G52" s="7" t="s">
        <v>413</v>
      </c>
    </row>
    <row r="53" spans="1:7" x14ac:dyDescent="0.25">
      <c r="A53" s="2" t="s">
        <v>482</v>
      </c>
      <c r="B53" s="2" t="s">
        <v>205</v>
      </c>
      <c r="C53" s="2" t="s">
        <v>207</v>
      </c>
      <c r="D53" s="2" t="s">
        <v>54</v>
      </c>
      <c r="E53" s="2" t="s">
        <v>485</v>
      </c>
      <c r="F53" s="2" t="s">
        <v>451</v>
      </c>
      <c r="G53" s="7" t="s">
        <v>415</v>
      </c>
    </row>
    <row r="54" spans="1:7" x14ac:dyDescent="0.25">
      <c r="A54" s="2" t="s">
        <v>482</v>
      </c>
      <c r="B54" s="2" t="s">
        <v>208</v>
      </c>
      <c r="C54" s="2" t="s">
        <v>210</v>
      </c>
      <c r="D54" s="2" t="s">
        <v>54</v>
      </c>
      <c r="E54" s="2" t="s">
        <v>486</v>
      </c>
      <c r="F54" s="2" t="s">
        <v>451</v>
      </c>
      <c r="G54" s="7" t="s">
        <v>417</v>
      </c>
    </row>
    <row r="55" spans="1:7" x14ac:dyDescent="0.25">
      <c r="A55" s="2" t="s">
        <v>482</v>
      </c>
      <c r="B55" s="2" t="s">
        <v>211</v>
      </c>
      <c r="C55" s="2" t="s">
        <v>213</v>
      </c>
      <c r="D55" s="2" t="s">
        <v>54</v>
      </c>
      <c r="E55" s="2" t="s">
        <v>487</v>
      </c>
      <c r="F55" s="2" t="s">
        <v>451</v>
      </c>
      <c r="G55" s="7" t="s">
        <v>419</v>
      </c>
    </row>
    <row r="56" spans="1:7" x14ac:dyDescent="0.25">
      <c r="A56" s="2" t="s">
        <v>482</v>
      </c>
      <c r="B56" s="2" t="s">
        <v>214</v>
      </c>
      <c r="C56" s="2" t="s">
        <v>216</v>
      </c>
      <c r="D56" s="2" t="s">
        <v>54</v>
      </c>
      <c r="E56" s="2" t="s">
        <v>488</v>
      </c>
      <c r="F56" s="2" t="s">
        <v>451</v>
      </c>
      <c r="G56" s="7" t="s">
        <v>421</v>
      </c>
    </row>
    <row r="57" spans="1:7" x14ac:dyDescent="0.25">
      <c r="A57" s="2" t="s">
        <v>482</v>
      </c>
      <c r="B57" s="2" t="s">
        <v>217</v>
      </c>
      <c r="C57" s="2" t="s">
        <v>219</v>
      </c>
      <c r="D57" s="2" t="s">
        <v>54</v>
      </c>
      <c r="E57" s="2" t="s">
        <v>489</v>
      </c>
      <c r="F57" s="2" t="s">
        <v>451</v>
      </c>
      <c r="G57" s="7" t="s">
        <v>423</v>
      </c>
    </row>
    <row r="58" spans="1:7" x14ac:dyDescent="0.25">
      <c r="A58" s="2" t="s">
        <v>482</v>
      </c>
      <c r="B58" s="2" t="s">
        <v>220</v>
      </c>
      <c r="C58" s="2" t="s">
        <v>222</v>
      </c>
      <c r="D58" s="2" t="s">
        <v>54</v>
      </c>
      <c r="E58" s="2" t="s">
        <v>490</v>
      </c>
      <c r="F58" s="2" t="s">
        <v>451</v>
      </c>
      <c r="G58" s="7" t="s">
        <v>425</v>
      </c>
    </row>
    <row r="59" spans="1:7" x14ac:dyDescent="0.25">
      <c r="A59" s="2" t="s">
        <v>491</v>
      </c>
      <c r="B59" s="2" t="s">
        <v>223</v>
      </c>
      <c r="C59" s="2" t="s">
        <v>225</v>
      </c>
      <c r="D59" s="2" t="s">
        <v>54</v>
      </c>
      <c r="E59" s="2" t="s">
        <v>492</v>
      </c>
      <c r="F59" s="2" t="s">
        <v>434</v>
      </c>
      <c r="G59" s="7" t="s">
        <v>411</v>
      </c>
    </row>
    <row r="60" spans="1:7" x14ac:dyDescent="0.25">
      <c r="A60" s="2" t="s">
        <v>491</v>
      </c>
      <c r="B60" s="2" t="s">
        <v>226</v>
      </c>
      <c r="C60" s="2" t="s">
        <v>228</v>
      </c>
      <c r="D60" s="2" t="s">
        <v>54</v>
      </c>
      <c r="E60" s="2" t="s">
        <v>493</v>
      </c>
      <c r="F60" s="2" t="s">
        <v>434</v>
      </c>
      <c r="G60" s="7" t="s">
        <v>413</v>
      </c>
    </row>
    <row r="61" spans="1:7" x14ac:dyDescent="0.25">
      <c r="A61" s="2" t="s">
        <v>491</v>
      </c>
      <c r="B61" s="2" t="s">
        <v>229</v>
      </c>
      <c r="C61" s="2" t="s">
        <v>231</v>
      </c>
      <c r="D61" s="2" t="s">
        <v>54</v>
      </c>
      <c r="E61" s="2" t="s">
        <v>494</v>
      </c>
      <c r="F61" s="2" t="s">
        <v>434</v>
      </c>
      <c r="G61" s="7" t="s">
        <v>415</v>
      </c>
    </row>
    <row r="62" spans="1:7" x14ac:dyDescent="0.25">
      <c r="A62" s="2" t="s">
        <v>491</v>
      </c>
      <c r="B62" s="2" t="s">
        <v>232</v>
      </c>
      <c r="C62" s="2" t="s">
        <v>234</v>
      </c>
      <c r="D62" s="2" t="s">
        <v>54</v>
      </c>
      <c r="E62" s="2" t="s">
        <v>495</v>
      </c>
      <c r="F62" s="2" t="s">
        <v>434</v>
      </c>
      <c r="G62" s="7" t="s">
        <v>417</v>
      </c>
    </row>
    <row r="63" spans="1:7" x14ac:dyDescent="0.25">
      <c r="A63" s="2" t="s">
        <v>491</v>
      </c>
      <c r="B63" s="2" t="s">
        <v>235</v>
      </c>
      <c r="C63" s="2" t="s">
        <v>237</v>
      </c>
      <c r="D63" s="2" t="s">
        <v>54</v>
      </c>
      <c r="E63" s="2" t="s">
        <v>496</v>
      </c>
      <c r="F63" s="2" t="s">
        <v>434</v>
      </c>
      <c r="G63" s="7" t="s">
        <v>419</v>
      </c>
    </row>
    <row r="64" spans="1:7" x14ac:dyDescent="0.25">
      <c r="A64" s="2" t="s">
        <v>491</v>
      </c>
      <c r="B64" s="2" t="s">
        <v>238</v>
      </c>
      <c r="C64" s="2" t="s">
        <v>240</v>
      </c>
      <c r="D64" s="2" t="s">
        <v>54</v>
      </c>
      <c r="E64" s="2" t="s">
        <v>497</v>
      </c>
      <c r="F64" s="2" t="s">
        <v>434</v>
      </c>
      <c r="G64" s="7" t="s">
        <v>421</v>
      </c>
    </row>
    <row r="65" spans="1:7" x14ac:dyDescent="0.25">
      <c r="A65" s="2" t="s">
        <v>491</v>
      </c>
      <c r="B65" s="2" t="s">
        <v>241</v>
      </c>
      <c r="C65" s="2" t="s">
        <v>243</v>
      </c>
      <c r="D65" s="2" t="s">
        <v>54</v>
      </c>
      <c r="E65" s="2" t="s">
        <v>498</v>
      </c>
      <c r="F65" s="2" t="s">
        <v>434</v>
      </c>
      <c r="G65" s="7" t="s">
        <v>423</v>
      </c>
    </row>
    <row r="66" spans="1:7" x14ac:dyDescent="0.25">
      <c r="A66" s="2" t="s">
        <v>491</v>
      </c>
      <c r="B66" s="2" t="s">
        <v>244</v>
      </c>
      <c r="C66" s="2" t="s">
        <v>246</v>
      </c>
      <c r="D66" s="2" t="s">
        <v>54</v>
      </c>
      <c r="E66" s="2" t="s">
        <v>499</v>
      </c>
      <c r="F66" s="2" t="s">
        <v>434</v>
      </c>
      <c r="G66" s="7" t="s">
        <v>425</v>
      </c>
    </row>
    <row r="67" spans="1:7" x14ac:dyDescent="0.25">
      <c r="A67" s="2" t="s">
        <v>500</v>
      </c>
      <c r="B67" s="2" t="s">
        <v>247</v>
      </c>
      <c r="C67" s="2" t="s">
        <v>249</v>
      </c>
      <c r="D67" s="2" t="s">
        <v>54</v>
      </c>
      <c r="E67" s="2" t="s">
        <v>501</v>
      </c>
      <c r="F67" s="2" t="s">
        <v>434</v>
      </c>
      <c r="G67" s="7" t="s">
        <v>411</v>
      </c>
    </row>
    <row r="68" spans="1:7" x14ac:dyDescent="0.25">
      <c r="A68" s="2" t="s">
        <v>500</v>
      </c>
      <c r="B68" s="2" t="s">
        <v>250</v>
      </c>
      <c r="C68" s="2" t="s">
        <v>252</v>
      </c>
      <c r="D68" s="2" t="s">
        <v>54</v>
      </c>
      <c r="E68" s="2" t="s">
        <v>502</v>
      </c>
      <c r="F68" s="2" t="s">
        <v>434</v>
      </c>
      <c r="G68" s="7" t="s">
        <v>413</v>
      </c>
    </row>
    <row r="69" spans="1:7" x14ac:dyDescent="0.25">
      <c r="A69" s="2" t="s">
        <v>500</v>
      </c>
      <c r="B69" s="2" t="s">
        <v>253</v>
      </c>
      <c r="C69" s="2" t="s">
        <v>255</v>
      </c>
      <c r="D69" s="2" t="s">
        <v>54</v>
      </c>
      <c r="E69" s="2" t="s">
        <v>503</v>
      </c>
      <c r="F69" s="2" t="s">
        <v>434</v>
      </c>
      <c r="G69" s="7" t="s">
        <v>415</v>
      </c>
    </row>
    <row r="70" spans="1:7" x14ac:dyDescent="0.25">
      <c r="A70" s="2" t="s">
        <v>500</v>
      </c>
      <c r="B70" s="2" t="s">
        <v>256</v>
      </c>
      <c r="C70" s="2" t="s">
        <v>258</v>
      </c>
      <c r="D70" s="2" t="s">
        <v>54</v>
      </c>
      <c r="E70" s="2" t="s">
        <v>504</v>
      </c>
      <c r="F70" s="2" t="s">
        <v>434</v>
      </c>
      <c r="G70" s="7" t="s">
        <v>417</v>
      </c>
    </row>
    <row r="71" spans="1:7" x14ac:dyDescent="0.25">
      <c r="A71" s="2" t="s">
        <v>500</v>
      </c>
      <c r="B71" s="2" t="s">
        <v>259</v>
      </c>
      <c r="C71" s="2" t="s">
        <v>261</v>
      </c>
      <c r="D71" s="2" t="s">
        <v>54</v>
      </c>
      <c r="E71" s="2" t="s">
        <v>505</v>
      </c>
      <c r="F71" s="2" t="s">
        <v>434</v>
      </c>
      <c r="G71" s="7" t="s">
        <v>419</v>
      </c>
    </row>
    <row r="72" spans="1:7" x14ac:dyDescent="0.25">
      <c r="A72" s="2" t="s">
        <v>500</v>
      </c>
      <c r="B72" s="2" t="s">
        <v>262</v>
      </c>
      <c r="C72" s="2" t="s">
        <v>264</v>
      </c>
      <c r="D72" s="2" t="s">
        <v>54</v>
      </c>
      <c r="E72" s="2" t="s">
        <v>506</v>
      </c>
      <c r="F72" s="2" t="s">
        <v>434</v>
      </c>
      <c r="G72" s="7" t="s">
        <v>421</v>
      </c>
    </row>
    <row r="73" spans="1:7" x14ac:dyDescent="0.25">
      <c r="A73" s="2" t="s">
        <v>507</v>
      </c>
      <c r="B73" s="2" t="s">
        <v>265</v>
      </c>
      <c r="C73" s="2" t="s">
        <v>267</v>
      </c>
      <c r="D73" s="2" t="s">
        <v>54</v>
      </c>
      <c r="E73" s="2" t="s">
        <v>508</v>
      </c>
      <c r="F73" s="2" t="s">
        <v>509</v>
      </c>
      <c r="G73" s="7" t="s">
        <v>411</v>
      </c>
    </row>
    <row r="74" spans="1:7" x14ac:dyDescent="0.25">
      <c r="A74" s="2" t="s">
        <v>507</v>
      </c>
      <c r="B74" s="2" t="s">
        <v>268</v>
      </c>
      <c r="C74" s="2" t="s">
        <v>270</v>
      </c>
      <c r="D74" s="2" t="s">
        <v>54</v>
      </c>
      <c r="E74" s="2" t="s">
        <v>510</v>
      </c>
      <c r="F74" s="2" t="s">
        <v>509</v>
      </c>
      <c r="G74" s="7" t="s">
        <v>413</v>
      </c>
    </row>
    <row r="75" spans="1:7" x14ac:dyDescent="0.25">
      <c r="A75" s="2" t="s">
        <v>507</v>
      </c>
      <c r="B75" s="2" t="s">
        <v>271</v>
      </c>
      <c r="C75" s="2" t="s">
        <v>273</v>
      </c>
      <c r="D75" s="2" t="s">
        <v>54</v>
      </c>
      <c r="E75" s="2" t="s">
        <v>511</v>
      </c>
      <c r="F75" s="2" t="s">
        <v>509</v>
      </c>
      <c r="G75" s="7" t="s">
        <v>415</v>
      </c>
    </row>
    <row r="76" spans="1:7" x14ac:dyDescent="0.25">
      <c r="A76" s="2" t="s">
        <v>507</v>
      </c>
      <c r="B76" s="2" t="s">
        <v>274</v>
      </c>
      <c r="C76" s="2" t="s">
        <v>276</v>
      </c>
      <c r="D76" s="2" t="s">
        <v>54</v>
      </c>
      <c r="E76" s="2" t="s">
        <v>512</v>
      </c>
      <c r="F76" s="2" t="s">
        <v>509</v>
      </c>
      <c r="G76" s="7" t="s">
        <v>417</v>
      </c>
    </row>
    <row r="77" spans="1:7" x14ac:dyDescent="0.25">
      <c r="A77" s="2" t="s">
        <v>507</v>
      </c>
      <c r="B77" s="2" t="s">
        <v>277</v>
      </c>
      <c r="C77" s="2" t="s">
        <v>279</v>
      </c>
      <c r="D77" s="2" t="s">
        <v>54</v>
      </c>
      <c r="E77" s="2" t="s">
        <v>513</v>
      </c>
      <c r="F77" s="2" t="s">
        <v>509</v>
      </c>
      <c r="G77" s="7" t="s">
        <v>419</v>
      </c>
    </row>
    <row r="78" spans="1:7" x14ac:dyDescent="0.25">
      <c r="A78" s="2" t="s">
        <v>507</v>
      </c>
      <c r="B78" s="2" t="s">
        <v>280</v>
      </c>
      <c r="C78" s="2" t="s">
        <v>282</v>
      </c>
      <c r="D78" s="2" t="s">
        <v>54</v>
      </c>
      <c r="E78" s="2" t="s">
        <v>514</v>
      </c>
      <c r="F78" s="2" t="s">
        <v>509</v>
      </c>
      <c r="G78" s="7" t="s">
        <v>421</v>
      </c>
    </row>
    <row r="79" spans="1:7" x14ac:dyDescent="0.25">
      <c r="A79" s="2" t="s">
        <v>507</v>
      </c>
      <c r="B79" s="2" t="s">
        <v>283</v>
      </c>
      <c r="C79" s="2" t="s">
        <v>285</v>
      </c>
      <c r="D79" s="2" t="s">
        <v>54</v>
      </c>
      <c r="E79" s="2" t="s">
        <v>515</v>
      </c>
      <c r="F79" s="2" t="s">
        <v>509</v>
      </c>
      <c r="G79" s="7" t="s">
        <v>423</v>
      </c>
    </row>
    <row r="80" spans="1:7" x14ac:dyDescent="0.25">
      <c r="A80" s="2" t="s">
        <v>516</v>
      </c>
      <c r="B80" s="2" t="s">
        <v>286</v>
      </c>
      <c r="C80" s="2" t="s">
        <v>288</v>
      </c>
      <c r="D80" s="2" t="s">
        <v>54</v>
      </c>
      <c r="E80" s="2" t="s">
        <v>517</v>
      </c>
      <c r="F80" s="2" t="s">
        <v>434</v>
      </c>
      <c r="G80" s="7" t="s">
        <v>411</v>
      </c>
    </row>
    <row r="81" spans="1:7" x14ac:dyDescent="0.25">
      <c r="A81" s="2" t="s">
        <v>516</v>
      </c>
      <c r="B81" s="2" t="s">
        <v>289</v>
      </c>
      <c r="C81" s="2" t="s">
        <v>291</v>
      </c>
      <c r="D81" s="2" t="s">
        <v>54</v>
      </c>
      <c r="E81" s="2" t="s">
        <v>518</v>
      </c>
      <c r="F81" s="2" t="s">
        <v>434</v>
      </c>
      <c r="G81" s="7" t="s">
        <v>413</v>
      </c>
    </row>
    <row r="82" spans="1:7" x14ac:dyDescent="0.25">
      <c r="A82" s="2" t="s">
        <v>516</v>
      </c>
      <c r="B82" s="2" t="s">
        <v>292</v>
      </c>
      <c r="C82" s="2" t="s">
        <v>294</v>
      </c>
      <c r="D82" s="2" t="s">
        <v>54</v>
      </c>
      <c r="E82" s="2" t="s">
        <v>519</v>
      </c>
      <c r="F82" s="2" t="s">
        <v>520</v>
      </c>
      <c r="G82" s="7" t="s">
        <v>415</v>
      </c>
    </row>
    <row r="83" spans="1:7" x14ac:dyDescent="0.25">
      <c r="A83" s="2" t="s">
        <v>516</v>
      </c>
      <c r="B83" s="2" t="s">
        <v>295</v>
      </c>
      <c r="C83" s="2" t="s">
        <v>297</v>
      </c>
      <c r="D83" s="2" t="s">
        <v>54</v>
      </c>
      <c r="E83" s="2" t="s">
        <v>521</v>
      </c>
      <c r="F83" s="2" t="s">
        <v>434</v>
      </c>
      <c r="G83" s="7" t="s">
        <v>417</v>
      </c>
    </row>
    <row r="84" spans="1:7" x14ac:dyDescent="0.25">
      <c r="A84" s="2" t="s">
        <v>516</v>
      </c>
      <c r="B84" s="2" t="s">
        <v>298</v>
      </c>
      <c r="C84" s="2" t="s">
        <v>300</v>
      </c>
      <c r="D84" s="2" t="s">
        <v>54</v>
      </c>
      <c r="E84" s="2" t="s">
        <v>522</v>
      </c>
      <c r="F84" s="2" t="s">
        <v>434</v>
      </c>
      <c r="G84" s="7" t="s">
        <v>419</v>
      </c>
    </row>
    <row r="85" spans="1:7" x14ac:dyDescent="0.25">
      <c r="A85" s="2" t="s">
        <v>516</v>
      </c>
      <c r="B85" s="2" t="s">
        <v>301</v>
      </c>
      <c r="C85" s="2" t="s">
        <v>303</v>
      </c>
      <c r="D85" s="2" t="s">
        <v>54</v>
      </c>
      <c r="E85" s="2" t="s">
        <v>523</v>
      </c>
      <c r="F85" s="2" t="s">
        <v>434</v>
      </c>
      <c r="G85" s="7" t="s">
        <v>421</v>
      </c>
    </row>
    <row r="86" spans="1:7" x14ac:dyDescent="0.25">
      <c r="A86" s="2" t="s">
        <v>524</v>
      </c>
      <c r="B86" s="2" t="s">
        <v>304</v>
      </c>
      <c r="C86" s="2" t="s">
        <v>306</v>
      </c>
      <c r="D86" s="2" t="s">
        <v>307</v>
      </c>
      <c r="E86" s="2" t="s">
        <v>525</v>
      </c>
      <c r="F86" s="2" t="s">
        <v>526</v>
      </c>
      <c r="G86" s="7" t="s">
        <v>411</v>
      </c>
    </row>
    <row r="87" spans="1:7" x14ac:dyDescent="0.25">
      <c r="A87" s="2" t="s">
        <v>524</v>
      </c>
      <c r="B87" s="2" t="s">
        <v>308</v>
      </c>
      <c r="C87" s="2" t="s">
        <v>310</v>
      </c>
      <c r="D87" s="2" t="s">
        <v>307</v>
      </c>
      <c r="E87" s="2" t="s">
        <v>527</v>
      </c>
      <c r="F87" s="2" t="s">
        <v>526</v>
      </c>
      <c r="G87" s="7" t="s">
        <v>413</v>
      </c>
    </row>
    <row r="88" spans="1:7" x14ac:dyDescent="0.25">
      <c r="A88" s="2" t="s">
        <v>524</v>
      </c>
      <c r="B88" s="2" t="s">
        <v>311</v>
      </c>
      <c r="C88" s="2" t="s">
        <v>313</v>
      </c>
      <c r="D88" s="2" t="s">
        <v>307</v>
      </c>
      <c r="E88" s="2" t="s">
        <v>528</v>
      </c>
      <c r="F88" s="2" t="s">
        <v>526</v>
      </c>
      <c r="G88" s="7" t="s">
        <v>415</v>
      </c>
    </row>
    <row r="89" spans="1:7" x14ac:dyDescent="0.25">
      <c r="A89" s="2" t="s">
        <v>524</v>
      </c>
      <c r="B89" s="2" t="s">
        <v>314</v>
      </c>
      <c r="C89" s="2" t="s">
        <v>316</v>
      </c>
      <c r="D89" s="2" t="s">
        <v>307</v>
      </c>
      <c r="E89" s="2" t="s">
        <v>529</v>
      </c>
      <c r="F89" s="2" t="s">
        <v>526</v>
      </c>
      <c r="G89" s="7" t="s">
        <v>417</v>
      </c>
    </row>
    <row r="90" spans="1:7" x14ac:dyDescent="0.25">
      <c r="A90" s="2" t="s">
        <v>524</v>
      </c>
      <c r="B90" s="2" t="s">
        <v>317</v>
      </c>
      <c r="C90" s="2" t="s">
        <v>319</v>
      </c>
      <c r="D90" s="2" t="s">
        <v>307</v>
      </c>
      <c r="E90" s="2" t="s">
        <v>530</v>
      </c>
      <c r="F90" s="2" t="s">
        <v>526</v>
      </c>
      <c r="G90" s="7" t="s">
        <v>419</v>
      </c>
    </row>
    <row r="91" spans="1:7" x14ac:dyDescent="0.25">
      <c r="A91" s="2" t="s">
        <v>524</v>
      </c>
      <c r="B91" s="2" t="s">
        <v>320</v>
      </c>
      <c r="C91" s="2" t="s">
        <v>322</v>
      </c>
      <c r="D91" s="2" t="s">
        <v>307</v>
      </c>
      <c r="E91" s="2" t="s">
        <v>531</v>
      </c>
      <c r="F91" s="2" t="s">
        <v>526</v>
      </c>
      <c r="G91" s="7" t="s">
        <v>421</v>
      </c>
    </row>
    <row r="92" spans="1:7" x14ac:dyDescent="0.25">
      <c r="A92" s="2" t="s">
        <v>524</v>
      </c>
      <c r="B92" s="2" t="s">
        <v>323</v>
      </c>
      <c r="C92" s="2" t="s">
        <v>325</v>
      </c>
      <c r="D92" s="2" t="s">
        <v>307</v>
      </c>
      <c r="E92" s="2" t="s">
        <v>532</v>
      </c>
      <c r="F92" s="2" t="s">
        <v>526</v>
      </c>
      <c r="G92" s="7" t="s">
        <v>423</v>
      </c>
    </row>
    <row r="93" spans="1:7" x14ac:dyDescent="0.25">
      <c r="A93" s="2" t="s">
        <v>524</v>
      </c>
      <c r="B93" s="2" t="s">
        <v>326</v>
      </c>
      <c r="C93" s="2" t="s">
        <v>328</v>
      </c>
      <c r="D93" s="2" t="s">
        <v>307</v>
      </c>
      <c r="E93" s="2" t="s">
        <v>533</v>
      </c>
      <c r="F93" s="2" t="s">
        <v>526</v>
      </c>
      <c r="G93" s="7" t="s">
        <v>425</v>
      </c>
    </row>
    <row r="94" spans="1:7" x14ac:dyDescent="0.25">
      <c r="A94" s="2" t="s">
        <v>524</v>
      </c>
      <c r="B94" s="2" t="s">
        <v>329</v>
      </c>
      <c r="C94" s="2" t="s">
        <v>331</v>
      </c>
      <c r="D94" s="2" t="s">
        <v>307</v>
      </c>
      <c r="E94" s="2" t="s">
        <v>534</v>
      </c>
      <c r="F94" s="2" t="s">
        <v>526</v>
      </c>
      <c r="G94" s="7" t="s">
        <v>427</v>
      </c>
    </row>
    <row r="95" spans="1:7" x14ac:dyDescent="0.25">
      <c r="A95" s="2" t="s">
        <v>524</v>
      </c>
      <c r="B95" s="2" t="s">
        <v>332</v>
      </c>
      <c r="C95" s="2" t="s">
        <v>334</v>
      </c>
      <c r="D95" s="2" t="s">
        <v>307</v>
      </c>
      <c r="E95" s="2" t="s">
        <v>535</v>
      </c>
      <c r="F95" s="2" t="s">
        <v>526</v>
      </c>
      <c r="G95" s="7" t="s">
        <v>429</v>
      </c>
    </row>
    <row r="96" spans="1:7" x14ac:dyDescent="0.25">
      <c r="A96" s="2" t="s">
        <v>524</v>
      </c>
      <c r="B96" s="2" t="s">
        <v>335</v>
      </c>
      <c r="C96" s="2" t="s">
        <v>337</v>
      </c>
      <c r="D96" s="2" t="s">
        <v>307</v>
      </c>
      <c r="E96" s="2" t="s">
        <v>536</v>
      </c>
      <c r="F96" s="2" t="s">
        <v>526</v>
      </c>
      <c r="G96" s="7" t="s">
        <v>431</v>
      </c>
    </row>
    <row r="97" spans="1:7" x14ac:dyDescent="0.25">
      <c r="A97" s="2" t="s">
        <v>524</v>
      </c>
      <c r="B97" s="2" t="s">
        <v>338</v>
      </c>
      <c r="C97" s="2" t="s">
        <v>340</v>
      </c>
      <c r="D97" s="2" t="s">
        <v>307</v>
      </c>
      <c r="E97" s="2" t="s">
        <v>537</v>
      </c>
      <c r="F97" s="2" t="s">
        <v>526</v>
      </c>
      <c r="G97" s="7" t="s">
        <v>463</v>
      </c>
    </row>
    <row r="98" spans="1:7" x14ac:dyDescent="0.25">
      <c r="A98" s="2" t="s">
        <v>524</v>
      </c>
      <c r="B98" s="2" t="s">
        <v>341</v>
      </c>
      <c r="C98" s="2" t="s">
        <v>343</v>
      </c>
      <c r="D98" s="2" t="s">
        <v>307</v>
      </c>
      <c r="E98" s="2" t="s">
        <v>538</v>
      </c>
      <c r="F98" s="2" t="s">
        <v>526</v>
      </c>
      <c r="G98" s="7" t="s">
        <v>465</v>
      </c>
    </row>
    <row r="99" spans="1:7" x14ac:dyDescent="0.25">
      <c r="A99" s="2" t="s">
        <v>524</v>
      </c>
      <c r="B99" s="2" t="s">
        <v>344</v>
      </c>
      <c r="C99" s="2" t="s">
        <v>346</v>
      </c>
      <c r="D99" s="2" t="s">
        <v>307</v>
      </c>
      <c r="E99" s="2" t="s">
        <v>539</v>
      </c>
      <c r="F99" s="2" t="s">
        <v>526</v>
      </c>
      <c r="G99" s="7" t="s">
        <v>467</v>
      </c>
    </row>
    <row r="100" spans="1:7" x14ac:dyDescent="0.25">
      <c r="A100" s="2" t="s">
        <v>540</v>
      </c>
      <c r="B100" s="2" t="s">
        <v>347</v>
      </c>
      <c r="C100" s="2" t="s">
        <v>349</v>
      </c>
      <c r="D100" s="2" t="s">
        <v>54</v>
      </c>
      <c r="E100" s="2" t="s">
        <v>541</v>
      </c>
      <c r="F100" s="2" t="s">
        <v>410</v>
      </c>
      <c r="G100" s="7" t="s">
        <v>411</v>
      </c>
    </row>
    <row r="101" spans="1:7" x14ac:dyDescent="0.25">
      <c r="A101" s="2" t="s">
        <v>540</v>
      </c>
      <c r="B101" s="2" t="s">
        <v>350</v>
      </c>
      <c r="C101" s="2" t="s">
        <v>352</v>
      </c>
      <c r="D101" s="2" t="s">
        <v>54</v>
      </c>
      <c r="E101" s="2" t="s">
        <v>542</v>
      </c>
      <c r="F101" s="2" t="s">
        <v>410</v>
      </c>
      <c r="G101" s="7" t="s">
        <v>413</v>
      </c>
    </row>
    <row r="102" spans="1:7" x14ac:dyDescent="0.25">
      <c r="A102" s="2" t="s">
        <v>540</v>
      </c>
      <c r="B102" s="2" t="s">
        <v>353</v>
      </c>
      <c r="C102" s="2" t="s">
        <v>355</v>
      </c>
      <c r="D102" s="2" t="s">
        <v>54</v>
      </c>
      <c r="E102" s="2" t="s">
        <v>543</v>
      </c>
      <c r="F102" s="2" t="s">
        <v>410</v>
      </c>
      <c r="G102" s="7" t="s">
        <v>415</v>
      </c>
    </row>
    <row r="103" spans="1:7" x14ac:dyDescent="0.25">
      <c r="A103" s="2" t="s">
        <v>540</v>
      </c>
      <c r="B103" s="2" t="s">
        <v>356</v>
      </c>
      <c r="C103" s="2" t="s">
        <v>358</v>
      </c>
      <c r="D103" s="2" t="s">
        <v>54</v>
      </c>
      <c r="E103" s="2" t="s">
        <v>544</v>
      </c>
      <c r="F103" s="2" t="s">
        <v>410</v>
      </c>
      <c r="G103" s="7" t="s">
        <v>417</v>
      </c>
    </row>
    <row r="104" spans="1:7" x14ac:dyDescent="0.25">
      <c r="A104" s="2" t="s">
        <v>540</v>
      </c>
      <c r="B104" s="2" t="s">
        <v>359</v>
      </c>
      <c r="C104" s="2" t="s">
        <v>361</v>
      </c>
      <c r="D104" s="2" t="s">
        <v>54</v>
      </c>
      <c r="E104" s="2" t="s">
        <v>545</v>
      </c>
      <c r="F104" s="2" t="s">
        <v>410</v>
      </c>
      <c r="G104" s="7" t="s">
        <v>419</v>
      </c>
    </row>
    <row r="105" spans="1:7" x14ac:dyDescent="0.25">
      <c r="A105" s="2" t="s">
        <v>540</v>
      </c>
      <c r="B105" s="2" t="s">
        <v>362</v>
      </c>
      <c r="C105" s="2" t="s">
        <v>364</v>
      </c>
      <c r="D105" s="2" t="s">
        <v>54</v>
      </c>
      <c r="E105" s="2" t="s">
        <v>546</v>
      </c>
      <c r="F105" s="2" t="s">
        <v>410</v>
      </c>
      <c r="G105" s="7" t="s">
        <v>421</v>
      </c>
    </row>
    <row r="106" spans="1:7" x14ac:dyDescent="0.25">
      <c r="A106" s="2" t="s">
        <v>540</v>
      </c>
      <c r="B106" s="2" t="s">
        <v>365</v>
      </c>
      <c r="C106" s="2" t="s">
        <v>367</v>
      </c>
      <c r="D106" s="2" t="s">
        <v>54</v>
      </c>
      <c r="E106" s="2" t="s">
        <v>547</v>
      </c>
      <c r="F106" s="2" t="s">
        <v>410</v>
      </c>
      <c r="G106" s="7" t="s">
        <v>423</v>
      </c>
    </row>
    <row r="107" spans="1:7" x14ac:dyDescent="0.25">
      <c r="A107" s="2" t="s">
        <v>548</v>
      </c>
      <c r="B107" s="2" t="s">
        <v>368</v>
      </c>
      <c r="C107" s="2" t="s">
        <v>370</v>
      </c>
      <c r="D107" s="2" t="s">
        <v>54</v>
      </c>
      <c r="E107" s="2" t="s">
        <v>549</v>
      </c>
      <c r="F107" s="2" t="s">
        <v>410</v>
      </c>
      <c r="G107" s="7" t="s">
        <v>411</v>
      </c>
    </row>
    <row r="108" spans="1:7" x14ac:dyDescent="0.25">
      <c r="A108" s="2" t="s">
        <v>548</v>
      </c>
      <c r="B108" s="2" t="s">
        <v>371</v>
      </c>
      <c r="C108" s="2" t="s">
        <v>373</v>
      </c>
      <c r="D108" s="2" t="s">
        <v>54</v>
      </c>
      <c r="E108" s="2" t="s">
        <v>550</v>
      </c>
      <c r="F108" s="2" t="s">
        <v>410</v>
      </c>
      <c r="G108" s="7" t="s">
        <v>413</v>
      </c>
    </row>
    <row r="109" spans="1:7" x14ac:dyDescent="0.25">
      <c r="A109" s="2" t="s">
        <v>548</v>
      </c>
      <c r="B109" s="2" t="s">
        <v>374</v>
      </c>
      <c r="C109" s="2" t="s">
        <v>376</v>
      </c>
      <c r="D109" s="2" t="s">
        <v>54</v>
      </c>
      <c r="E109" s="2" t="s">
        <v>551</v>
      </c>
      <c r="F109" s="2" t="s">
        <v>410</v>
      </c>
      <c r="G109" s="7" t="s">
        <v>415</v>
      </c>
    </row>
    <row r="110" spans="1:7" x14ac:dyDescent="0.25">
      <c r="A110" s="2" t="s">
        <v>548</v>
      </c>
      <c r="B110" s="2" t="s">
        <v>377</v>
      </c>
      <c r="C110" s="2" t="s">
        <v>379</v>
      </c>
      <c r="D110" s="2" t="s">
        <v>54</v>
      </c>
      <c r="E110" s="2" t="s">
        <v>552</v>
      </c>
      <c r="F110" s="2" t="s">
        <v>410</v>
      </c>
      <c r="G110" s="7" t="s">
        <v>417</v>
      </c>
    </row>
    <row r="111" spans="1:7" x14ac:dyDescent="0.25">
      <c r="A111" s="2" t="s">
        <v>548</v>
      </c>
      <c r="B111" s="2" t="s">
        <v>380</v>
      </c>
      <c r="C111" s="2" t="s">
        <v>382</v>
      </c>
      <c r="D111" s="2" t="s">
        <v>54</v>
      </c>
      <c r="E111" s="2" t="s">
        <v>553</v>
      </c>
      <c r="F111" s="2" t="s">
        <v>410</v>
      </c>
      <c r="G111" s="7" t="s">
        <v>419</v>
      </c>
    </row>
    <row r="112" spans="1:7" x14ac:dyDescent="0.25">
      <c r="A112" s="2" t="s">
        <v>548</v>
      </c>
      <c r="B112" s="2" t="s">
        <v>383</v>
      </c>
      <c r="C112" s="2" t="s">
        <v>385</v>
      </c>
      <c r="D112" s="2" t="s">
        <v>54</v>
      </c>
      <c r="E112" s="2" t="s">
        <v>554</v>
      </c>
      <c r="F112" s="2" t="s">
        <v>555</v>
      </c>
      <c r="G112" s="7" t="s">
        <v>421</v>
      </c>
    </row>
    <row r="113" spans="1:7" x14ac:dyDescent="0.25">
      <c r="A113" s="2" t="s">
        <v>556</v>
      </c>
      <c r="B113" s="2" t="s">
        <v>386</v>
      </c>
      <c r="C113" s="2" t="s">
        <v>388</v>
      </c>
      <c r="D113" s="2" t="s">
        <v>54</v>
      </c>
      <c r="E113" s="2" t="s">
        <v>557</v>
      </c>
      <c r="F113" s="2" t="s">
        <v>410</v>
      </c>
      <c r="G113" s="7" t="s">
        <v>411</v>
      </c>
    </row>
    <row r="114" spans="1:7" x14ac:dyDescent="0.25">
      <c r="A114" s="2" t="s">
        <v>556</v>
      </c>
      <c r="B114" s="2" t="s">
        <v>389</v>
      </c>
      <c r="C114" s="2" t="s">
        <v>391</v>
      </c>
      <c r="D114" s="2" t="s">
        <v>54</v>
      </c>
      <c r="E114" s="2" t="s">
        <v>558</v>
      </c>
      <c r="F114" s="2" t="s">
        <v>559</v>
      </c>
      <c r="G114" s="7" t="s">
        <v>413</v>
      </c>
    </row>
    <row r="115" spans="1:7" x14ac:dyDescent="0.25">
      <c r="A115" s="2" t="s">
        <v>556</v>
      </c>
      <c r="B115" s="2" t="s">
        <v>392</v>
      </c>
      <c r="C115" s="2" t="s">
        <v>394</v>
      </c>
      <c r="D115" s="2" t="s">
        <v>54</v>
      </c>
      <c r="E115" s="2" t="s">
        <v>560</v>
      </c>
      <c r="F115" s="2" t="s">
        <v>434</v>
      </c>
      <c r="G115" s="7" t="s">
        <v>415</v>
      </c>
    </row>
    <row r="116" spans="1:7" x14ac:dyDescent="0.25">
      <c r="A116" s="2" t="s">
        <v>556</v>
      </c>
      <c r="B116" s="2" t="s">
        <v>395</v>
      </c>
      <c r="C116" s="2" t="s">
        <v>397</v>
      </c>
      <c r="D116" s="2" t="s">
        <v>54</v>
      </c>
      <c r="E116" s="2" t="s">
        <v>561</v>
      </c>
      <c r="F116" s="2" t="s">
        <v>434</v>
      </c>
      <c r="G116" s="7" t="s">
        <v>417</v>
      </c>
    </row>
    <row r="117" spans="1:7" x14ac:dyDescent="0.25">
      <c r="A117" s="2" t="s">
        <v>556</v>
      </c>
      <c r="B117" s="2" t="s">
        <v>398</v>
      </c>
      <c r="C117" s="2" t="s">
        <v>400</v>
      </c>
      <c r="D117" s="2" t="s">
        <v>54</v>
      </c>
      <c r="E117" s="2" t="s">
        <v>562</v>
      </c>
      <c r="F117" s="2" t="s">
        <v>434</v>
      </c>
      <c r="G117" s="7" t="s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CONFIG</vt:lpstr>
      <vt:lpstr>INSTRUCCIONES</vt:lpstr>
      <vt:lpstr>PMI</vt:lpstr>
      <vt:lpstr>China</vt:lpstr>
      <vt:lpstr>CDS</vt:lpstr>
      <vt:lpstr>Credit_Spreads</vt:lpstr>
      <vt:lpstr>EM_Spreads</vt:lpstr>
      <vt:lpstr>Real_Yields</vt:lpstr>
      <vt:lpstr>CPI_Componentes</vt:lpstr>
      <vt:lpstr>EPFR_Flows</vt:lpstr>
      <vt:lpstr>Positioning</vt:lpstr>
      <vt:lpstr>Valuaciones</vt:lpstr>
      <vt:lpstr>Volatility</vt:lpstr>
      <vt:lpstr>Macro_Conditions</vt:lpstr>
      <vt:lpstr>Chile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Maqueda</cp:lastModifiedBy>
  <dcterms:created xsi:type="dcterms:W3CDTF">2026-02-18T20:08:05Z</dcterms:created>
  <dcterms:modified xsi:type="dcterms:W3CDTF">2026-02-19T12:48:00Z</dcterms:modified>
</cp:coreProperties>
</file>